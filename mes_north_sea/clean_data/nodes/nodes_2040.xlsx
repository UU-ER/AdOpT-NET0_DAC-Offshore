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0"/>
  <workbookPr/>
  <mc:AlternateContent xmlns:mc="http://schemas.openxmlformats.org/markup-compatibility/2006">
    <mc:Choice Requires="x15">
      <x15ac:absPath xmlns:x15ac="http://schemas.microsoft.com/office/spreadsheetml/2010/11/ac" url="/Users/8051917/PycharmProjects/AdOpT-NET0_DAC-Offshore/mes_north_sea/clean_data/nodes/"/>
    </mc:Choice>
  </mc:AlternateContent>
  <xr:revisionPtr revIDLastSave="0" documentId="13_ncr:1_{2411F4CA-9634-2C40-A329-A33698A41241}" xr6:coauthVersionLast="47" xr6:coauthVersionMax="47" xr10:uidLastSave="{00000000-0000-0000-0000-000000000000}"/>
  <bookViews>
    <workbookView xWindow="-17120" yWindow="-28800" windowWidth="51200" windowHeight="28800" activeTab="2" xr2:uid="{00000000-000D-0000-FFFF-FFFF00000000}"/>
  </bookViews>
  <sheets>
    <sheet name="Nodes_used" sheetId="1" r:id="rId1"/>
    <sheet name="Nodes_all" sheetId="2" r:id="rId2"/>
    <sheet name="storage_clean" sheetId="6" r:id="rId3"/>
    <sheet name="storage_projects_all" sheetId="5" r:id="rId4"/>
  </sheets>
  <definedNames>
    <definedName name="_xlnm._FilterDatabase" localSheetId="1" hidden="1">Nodes_all!$A$1:$E$27</definedName>
    <definedName name="_xlnm._FilterDatabase" localSheetId="0" hidden="1">Nodes_used!$A$1:$B$71</definedName>
    <definedName name="_xlnm._FilterDatabase" localSheetId="3" hidden="1">storage_projects_all!$A$1:$P$48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6" l="1"/>
  <c r="G13" i="6"/>
  <c r="G9" i="6"/>
  <c r="G8" i="6"/>
  <c r="G6" i="6"/>
  <c r="G2" i="6"/>
  <c r="G12" i="6"/>
  <c r="G10" i="6"/>
  <c r="G7" i="6"/>
  <c r="G5" i="6"/>
  <c r="G3" i="6"/>
  <c r="G16" i="6"/>
  <c r="G4" i="6"/>
  <c r="G11" i="6"/>
  <c r="G14" i="6"/>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C2" i="2"/>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tc={82C12133-464F-AC4F-A509-9A80C400E6B2}</author>
  </authors>
  <commentList>
    <comment ref="A1" authorId="0" shapeId="0" xr:uid="{82C12133-464F-AC4F-A509-9A80C400E6B2}">
      <text>
        <t>[Threaded comment]
Your version of Excel allows you to read this threaded comment; however, any edits to it will get removed if the file is opened in a newer version of Excel. Learn more: https://go.microsoft.com/fwlink/?linkid=870924
Comment:
    including the sites as one location; same formation</t>
      </text>
    </comment>
  </commentList>
</comments>
</file>

<file path=xl/sharedStrings.xml><?xml version="1.0" encoding="utf-8"?>
<sst xmlns="http://schemas.openxmlformats.org/spreadsheetml/2006/main" count="533" uniqueCount="225">
  <si>
    <t>Node</t>
  </si>
  <si>
    <t>DE4</t>
  </si>
  <si>
    <t>UK2</t>
  </si>
  <si>
    <t>DK1</t>
  </si>
  <si>
    <t>BE2</t>
  </si>
  <si>
    <t>DE3</t>
  </si>
  <si>
    <t>UK4</t>
  </si>
  <si>
    <t>DE1</t>
  </si>
  <si>
    <t>NL3</t>
  </si>
  <si>
    <t>NL2</t>
  </si>
  <si>
    <t>NL1</t>
  </si>
  <si>
    <t>NL4</t>
  </si>
  <si>
    <t>DE2</t>
  </si>
  <si>
    <t>BE1</t>
  </si>
  <si>
    <t>UK3</t>
  </si>
  <si>
    <t>UK1</t>
  </si>
  <si>
    <t>NO1</t>
  </si>
  <si>
    <t>Type</t>
  </si>
  <si>
    <t>onshore</t>
  </si>
  <si>
    <t>DE_A</t>
  </si>
  <si>
    <t>DE_B</t>
  </si>
  <si>
    <t>NL_A</t>
  </si>
  <si>
    <t>NL_B</t>
  </si>
  <si>
    <t>UK_E</t>
  </si>
  <si>
    <t>UK_C</t>
  </si>
  <si>
    <t>UK_B</t>
  </si>
  <si>
    <t>BE_A</t>
  </si>
  <si>
    <t>UK_D</t>
  </si>
  <si>
    <t>DK_A</t>
  </si>
  <si>
    <t>Country</t>
  </si>
  <si>
    <t>x</t>
  </si>
  <si>
    <t>y</t>
  </si>
  <si>
    <t>UK_G</t>
  </si>
  <si>
    <t>DE_F</t>
  </si>
  <si>
    <t>UK_F</t>
  </si>
  <si>
    <t>NL_E</t>
  </si>
  <si>
    <t>DK_B</t>
  </si>
  <si>
    <t>DE_C</t>
  </si>
  <si>
    <t>UK_H</t>
  </si>
  <si>
    <t>NL_D</t>
  </si>
  <si>
    <t>NL_C</t>
  </si>
  <si>
    <t>DE_E</t>
  </si>
  <si>
    <t>DE_D</t>
  </si>
  <si>
    <t>BE_B</t>
  </si>
  <si>
    <t>offshore_existing</t>
  </si>
  <si>
    <t>offshore_new</t>
  </si>
  <si>
    <t>New_Offshore_Farms_2040</t>
  </si>
  <si>
    <t>UK_L</t>
  </si>
  <si>
    <t>UK_K</t>
  </si>
  <si>
    <t>UK_J</t>
  </si>
  <si>
    <t>UK_I</t>
  </si>
  <si>
    <t>NO_D</t>
  </si>
  <si>
    <t>NO_C</t>
  </si>
  <si>
    <t>NO_B</t>
  </si>
  <si>
    <t>NO_A</t>
  </si>
  <si>
    <t>NL_G</t>
  </si>
  <si>
    <t>NL_F</t>
  </si>
  <si>
    <t>DK_C</t>
  </si>
  <si>
    <t>DE_I</t>
  </si>
  <si>
    <t>DE_H</t>
  </si>
  <si>
    <t>DE_G</t>
  </si>
  <si>
    <t>UK</t>
  </si>
  <si>
    <t>Acorn</t>
  </si>
  <si>
    <t>Hewett</t>
  </si>
  <si>
    <t>Northern Endurance</t>
  </si>
  <si>
    <t>Orion</t>
  </si>
  <si>
    <t>Viking</t>
  </si>
  <si>
    <t>Poseidon</t>
  </si>
  <si>
    <t>Zero Carbon Humber</t>
  </si>
  <si>
    <t>Net Zero Teesside</t>
  </si>
  <si>
    <t>Bacton Thames Net Zero</t>
  </si>
  <si>
    <t>New_CO2_Storage_2040</t>
  </si>
  <si>
    <t>DK</t>
  </si>
  <si>
    <t>NL</t>
  </si>
  <si>
    <t>Project Name</t>
  </si>
  <si>
    <t>Latitude</t>
  </si>
  <si>
    <t>Longitude</t>
  </si>
  <si>
    <t>Total Capacity (Mt)</t>
  </si>
  <si>
    <t>Phase 1 Capacity (metric tons per annum)</t>
  </si>
  <si>
    <t>Phase 1 Year</t>
  </si>
  <si>
    <t>Phase 2 Capacity</t>
  </si>
  <si>
    <t>Phase 2 Year</t>
  </si>
  <si>
    <t>Phase 3 Capacity</t>
  </si>
  <si>
    <t>Phase 3 Year</t>
  </si>
  <si>
    <t>Phase 4 Capacity</t>
  </si>
  <si>
    <t>Phase 4 Year</t>
  </si>
  <si>
    <t>Storage Classification</t>
  </si>
  <si>
    <t>Notes</t>
  </si>
  <si>
    <t>References</t>
  </si>
  <si>
    <t>Depleted Oil or Gas Reservoir</t>
  </si>
  <si>
    <t>https://theacornproject.uk/</t>
  </si>
  <si>
    <t>Aramis</t>
  </si>
  <si>
    <t xml:space="preserve">https://www.ep.total.com/en/innovations/research-development/total-invests-heavily-carbon-capture-utilization-and-storage-ccus </t>
  </si>
  <si>
    <t>Bifrost</t>
  </si>
  <si>
    <t>https://www.noreco.com/news/2021/q3/noreco-announces-the-ccs-partnership-project-bifrost</t>
  </si>
  <si>
    <t>Greensand</t>
  </si>
  <si>
    <t>https://projectgreensand.com</t>
  </si>
  <si>
    <t>Havstjerne</t>
  </si>
  <si>
    <t>NO</t>
  </si>
  <si>
    <t>Dedicated Saline Storage</t>
  </si>
  <si>
    <t>https://www.offshore-energy.biz/four-out-of-six-companies-awarded-co2-storage-licenses-offshore-norway/</t>
  </si>
  <si>
    <t>https://www.eni.com/static/bactonthamesnetzero/#:~:text=Bacton%20Thames%20Net%20Zero%20(BTNZ,the%20Bacton%20and%20Thames%20regions.</t>
  </si>
  <si>
    <t>L10 Area</t>
  </si>
  <si>
    <t>https://www.neptuneenergy.com/sites/neptuneenergy-corp/files/esg/climate-change-and-environment/integrated%20energy%20hubs/L10%20CCS%20Final.pdf</t>
  </si>
  <si>
    <t>Luna</t>
  </si>
  <si>
    <t>Start year not communicated. Assumed 2028, similar to other projects announced in 2022.</t>
  </si>
  <si>
    <t>https://wintershalldea.com/en/newsroom/wintershall-dea-awarded-its-first-co2-licence-norway</t>
  </si>
  <si>
    <t>Norne</t>
  </si>
  <si>
    <t>Two sites are announced as part of the project. Not entirely clear how much will be injected at each site.</t>
  </si>
  <si>
    <t>https://norneccs.com/en/</t>
  </si>
  <si>
    <t>https://assets.publishing.service.gov.uk/media/629525a0d3bf7f036750aff5/NS051-SS-REP-000-00010-Storage_Development_Plan.pdf</t>
  </si>
  <si>
    <t>Northern Lights</t>
  </si>
  <si>
    <t>The total investments in Longship are estimated at NOK 17.1 billion. This includes both Norcem, Fortum Oslo Varme as well as  Northern Lights. The operating costs for ten years of operation are estimated at NOK 8 billion. The total cost estimate is thus NOK 25.1 billion.</t>
  </si>
  <si>
    <t>https://northernlightsccs.com/en/about, https://norlights.com/news/northern-lights-is-expanding-capacity-through-commercial-agreement/</t>
  </si>
  <si>
    <t>https://www.offshore-mag.com/regional-reports/north-sea-europe/article/14297839/nsta-green-lights-north-sea-orion-carbon-capture-project</t>
  </si>
  <si>
    <t>Polaris</t>
  </si>
  <si>
    <t>Start-capacity estimated from timeline</t>
  </si>
  <si>
    <t>https://www.horisontenergi.no/carbon-storage/</t>
  </si>
  <si>
    <t>Porthos</t>
  </si>
  <si>
    <t>All capacity booked already. CAPEX 450-500 Mio€. Rotterdam as receiving port, maybe include in Rotterdam node.</t>
  </si>
  <si>
    <t>https://climate.ec.europa.eu/system/files/2023-05/policy_ccs_implementation_presentations_20230330_en.pdf</t>
  </si>
  <si>
    <t>Start year not communicated. Assumed 2029, 6 years after exploration license awarded. Initial injection assumed to be 1.5Mt, similar to other projects. Full scale after 5 years.</t>
  </si>
  <si>
    <t>https://akerbp.com/en/borsmelding/aker-bp-and-omv-awarded-licence-for-co2-storage-2/</t>
  </si>
  <si>
    <t>Smeaheia</t>
  </si>
  <si>
    <t>https://www.equinor.com/news/archive/20220405-awarded-smeaheia-polaris-co2-licenses and https://www.carboncuts.dk/en/news#/pressreleases/carboncuts-ansoeger-energistyrelsen-om-licens-til-at-udforske-muligheden-for-at-etablere-projekt-ruby-et-co2-lager-i-roedbystrukturen-paa-lolland-3298513</t>
  </si>
  <si>
    <t>Trudvang</t>
  </si>
  <si>
    <t>https://www.oedigital.com/news/503196-sval-partners-with-storegga-and-neptune-for-trudvang-offshore-co2-storage-project</t>
  </si>
  <si>
    <t>https://www.vikingccs.co.uk/</t>
  </si>
  <si>
    <t>https://www.energyvoice.com/renewables-energy-transition/525772/perenco-north-sea-ccs-poseidon-orion/ ; https://www.perenco-ccs.com/the-poseidon-project/</t>
  </si>
  <si>
    <t>Albondigas</t>
  </si>
  <si>
    <t>No dates announced yet (26.06.24)</t>
  </si>
  <si>
    <t>https://www.equinor.com/news/20240620-two-new-co2-storage-licenses-in-the-north-sea#</t>
  </si>
  <si>
    <t>Kinno</t>
  </si>
  <si>
    <t xml:space="preserve">https://www.equinor.com/news/20240620-two-new-co2-storage-licenses-in-the-north-sea# </t>
  </si>
  <si>
    <t>Iroko</t>
  </si>
  <si>
    <t>https://www.omv.com/en/investors/news/2024/20240621-omv-awarded-with-a-second-co2-storage-license-in-norway</t>
  </si>
  <si>
    <t>Sleipner</t>
  </si>
  <si>
    <t>More than 19 million tonnes of CO2 have been stored (2024)</t>
  </si>
  <si>
    <t>https://sequestration.mit.edu/tools/projects/sleipner.html ; https://group.vattenfall.com/press-and-media/newsroom/2024/norways-sleipner-where-co2-has-been-buried-in-the-rock-since-1996</t>
  </si>
  <si>
    <t>Snohvit</t>
  </si>
  <si>
    <t>6.5 Mt (2008-2019)</t>
  </si>
  <si>
    <t>https://sequestration.mit.edu/tools/projects/snohvit.html; https://ccreservoirs.com/the-snohvit-ccs-project-from-over-pressurisation-to-successful-sequestration/</t>
  </si>
  <si>
    <t>Atlas</t>
  </si>
  <si>
    <t>https://akerbp.com/prosjekt-atlas/#:~:text=In%20its%20initial%20phase%2C%20the,with%20potential%20for%20further%20expansion.</t>
  </si>
  <si>
    <t>https://iogpeurope.org/wp-content/uploads/2025/05/CO2-Storage-Projects-in-Europe-map_May25.pdf</t>
  </si>
  <si>
    <t>https://www.netzeroteesside.co.uk</t>
  </si>
  <si>
    <t>https://www.eni.com/static/bactonthamesnetzero/</t>
  </si>
  <si>
    <t>Bockovac</t>
  </si>
  <si>
    <t>HR</t>
  </si>
  <si>
    <t>Year of full scale not announced. Assumed to be 5 years after starting injection (average over all projects)</t>
  </si>
  <si>
    <t>Coda Terminal</t>
  </si>
  <si>
    <t>IS</t>
  </si>
  <si>
    <t>Basalt</t>
  </si>
  <si>
    <t>https://www.carbfix.com/codaterminal and https://climate.ec.europa.eu/system/files/2023-05/policy_ccs_implementation_presentations_20230330_en.pdf</t>
  </si>
  <si>
    <t>Galata</t>
  </si>
  <si>
    <t>BG</t>
  </si>
  <si>
    <t>Assumed to start with capacity of attached capture plant at cement plant, assumed expansion after 5 years. Assumed receiving terminal at Warna harbor</t>
  </si>
  <si>
    <t>https://anrav.bg/en/2023/01/19/eu-backs-heidelberg-materials-pioneering-ccus-project-in-bulgaria/</t>
  </si>
  <si>
    <t>HyNet</t>
  </si>
  <si>
    <t>(UK)</t>
  </si>
  <si>
    <t>Liverpool is assumed as receiving port/NOT NORTH SEA</t>
  </si>
  <si>
    <t>Prinos</t>
  </si>
  <si>
    <t>GR</t>
  </si>
  <si>
    <t>Assumed to collect CO2 at Kavala harbor.</t>
  </si>
  <si>
    <t>https://www.energean.com/operations/greece/prinos-co2/</t>
  </si>
  <si>
    <t>Pycasso</t>
  </si>
  <si>
    <t>FR</t>
  </si>
  <si>
    <t>Injection in the old Lacq gas field</t>
  </si>
  <si>
    <t>https://www.terega.fr/en/lab/pycasso-whats-that/</t>
  </si>
  <si>
    <t>Ravenna Hub</t>
  </si>
  <si>
    <t>IT</t>
  </si>
  <si>
    <t>https://www.eni.com/ravenna-ccs/en-IT/project/ravenna-hub.html</t>
  </si>
  <si>
    <t>Ruby</t>
  </si>
  <si>
    <t>(DK)</t>
  </si>
  <si>
    <t>NOT NORTH SEA</t>
  </si>
  <si>
    <t>https://www.carboncuts.dk/en/the-ruby-project</t>
  </si>
  <si>
    <t>Spirit Morecambe</t>
  </si>
  <si>
    <t>Port of Barrow will be transfer point/NOT NORTH SEA</t>
  </si>
  <si>
    <t>https://www.spirit-energy.com/newsroom/press-releases/spirit-energy-launches-plan-for-carbon-storage-cluster/</t>
  </si>
  <si>
    <t>Stenlille</t>
  </si>
  <si>
    <t>Onshore storage, not offshore!</t>
  </si>
  <si>
    <t>Caledonia Clean Energy</t>
  </si>
  <si>
    <t>remains as a "reserve project"</t>
  </si>
  <si>
    <t>https://www.geos.ed.ac.uk/sccs/project-info/98</t>
  </si>
  <si>
    <t>South Wales Industrial Cluster</t>
  </si>
  <si>
    <t>Solent Cluster</t>
  </si>
  <si>
    <t>2.4 (authorized) up to 100</t>
  </si>
  <si>
    <t>https://greensandfuture.com/next-chapter</t>
  </si>
  <si>
    <t>Kalundborg CCS</t>
  </si>
  <si>
    <t>in exploration phase/ONSHORE</t>
  </si>
  <si>
    <t>https://co2storagekalundborg.com</t>
  </si>
  <si>
    <t>Greenstone</t>
  </si>
  <si>
    <t>https://greenstore.dk/en/seismic-surveys/; https://iogpeurope.org/wp-content/uploads/2025/05/CO2-Storage-Projects-in-Europe-map_May25.pdf</t>
  </si>
  <si>
    <t>Spirit Energy CCUS Hub</t>
  </si>
  <si>
    <t>SAME AS MORECAMBE</t>
  </si>
  <si>
    <t>Ruby Storage Project</t>
  </si>
  <si>
    <t>ONSHORE</t>
  </si>
  <si>
    <t>Project</t>
  </si>
  <si>
    <t>Country code</t>
  </si>
  <si>
    <t>Node code</t>
  </si>
  <si>
    <t>Existing or new?</t>
  </si>
  <si>
    <t xml:space="preserve">Existing   </t>
  </si>
  <si>
    <t>size max (t)</t>
  </si>
  <si>
    <t>injection rate (t/hr)</t>
  </si>
  <si>
    <t>Aramis &amp; L10 Area</t>
  </si>
  <si>
    <t>Havstjerne &amp; Poseidon</t>
  </si>
  <si>
    <t>Polaris &amp; Snohvit</t>
  </si>
  <si>
    <t>Northern Endurance &amp; Net Zero Teesside</t>
  </si>
  <si>
    <t>Coordinates</t>
  </si>
  <si>
    <t>DK_ST1</t>
  </si>
  <si>
    <t>New</t>
  </si>
  <si>
    <t>56.35, 4.67</t>
  </si>
  <si>
    <t>NO_ST1</t>
  </si>
  <si>
    <t>60.46, 3.16</t>
  </si>
  <si>
    <t>58.35, 1.90</t>
  </si>
  <si>
    <t>Classification based on 100km radius for existing nodes. If no existing nodes within the distance, a new node was formed</t>
  </si>
  <si>
    <t>Hewett &amp; Bacton Thames Net Zero &amp; Poseidon</t>
  </si>
  <si>
    <t>Excluded sites where no capacity/injection rate was found</t>
  </si>
  <si>
    <t>Luna, Northern Lights, Smeaheia</t>
  </si>
  <si>
    <t>NO_ST2</t>
  </si>
  <si>
    <t>Trudvang &amp; Sleipner</t>
  </si>
  <si>
    <t>No capacity announced for Net Zero Humber, placeholder at 500,000,000 like Greensand in NO with the same injection rate</t>
  </si>
  <si>
    <t>phase 1</t>
  </si>
  <si>
    <t>Column1</t>
  </si>
  <si>
    <t xml:space="preserve">Albondigas &amp; Kinno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</si>
</sst>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_(* \(#,##0.00\);_(* \-??_);_(@_)"/>
    <numFmt numFmtId="165" formatCode="_(* #,##0_)"/>
    <numFmt numFmtId="166" formatCode="0.000"/>
    <numFmt numFmtId="167" formatCode="_(* #,##0_);_(* \(#,##0\);_(* &quot;-&quot;??_);_(@_)"/>
  </numFmts>
  <fonts count="17" x14ac:knownFonts="1">
    <font>
      <sz val="11"/>
      <color theme="1"/>
      <name val="Calibri"/>
      <family val="2"/>
      <scheme val="minor"/>
    </font>
    <font>
      <sz val="12"/>
      <color theme="1"/>
      <name val="Calibri"/>
      <family val="2"/>
      <scheme val="minor"/>
    </font>
    <font>
      <sz val="11"/>
      <color theme="1"/>
      <name val="Calibri"/>
      <family val="2"/>
      <scheme val="minor"/>
    </font>
    <font>
      <sz val="14"/>
      <color rgb="FF000000"/>
      <name val="Calibri"/>
      <family val="2"/>
      <scheme val="minor"/>
    </font>
    <font>
      <sz val="14"/>
      <color theme="1"/>
      <name val="Calibri"/>
      <family val="2"/>
      <scheme val="minor"/>
    </font>
    <font>
      <sz val="14"/>
      <color rgb="FF1F1F1F"/>
      <name val="Calibri"/>
      <family val="2"/>
      <scheme val="minor"/>
    </font>
    <font>
      <sz val="16"/>
      <color rgb="FF000000"/>
      <name val="Calibri"/>
      <family val="2"/>
      <scheme val="minor"/>
    </font>
    <font>
      <sz val="16"/>
      <color theme="1"/>
      <name val="Calibri"/>
      <family val="2"/>
      <scheme val="minor"/>
    </font>
    <font>
      <sz val="16"/>
      <color rgb="FF0047BB"/>
      <name val="Calibri"/>
      <family val="2"/>
      <scheme val="minor"/>
    </font>
    <font>
      <b/>
      <sz val="14"/>
      <color rgb="FF000000"/>
      <name val="Calibri"/>
      <family val="2"/>
      <scheme val="minor"/>
    </font>
    <font>
      <u/>
      <sz val="14"/>
      <color rgb="FF0047BB"/>
      <name val="Calibri"/>
      <family val="2"/>
      <scheme val="minor"/>
    </font>
    <font>
      <u/>
      <sz val="12"/>
      <color theme="10"/>
      <name val="Calibri"/>
      <family val="2"/>
      <scheme val="minor"/>
    </font>
    <font>
      <u/>
      <sz val="14"/>
      <color rgb="FF0000FF"/>
      <name val="Calibri"/>
      <family val="2"/>
      <scheme val="minor"/>
    </font>
    <font>
      <sz val="14"/>
      <color rgb="FF202124"/>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5">
    <xf numFmtId="0" fontId="0" fillId="0" borderId="0"/>
    <xf numFmtId="43" fontId="2" fillId="0" borderId="0" applyFont="0" applyFill="0" applyBorder="0" applyAlignment="0" applyProtection="0"/>
    <xf numFmtId="0" fontId="1" fillId="0" borderId="0"/>
    <xf numFmtId="0" fontId="11" fillId="0" borderId="0" applyNumberFormat="0" applyFill="0" applyBorder="0" applyAlignment="0" applyProtection="0"/>
    <xf numFmtId="43" fontId="1" fillId="0" borderId="0" applyFont="0" applyFill="0" applyBorder="0" applyAlignment="0" applyProtection="0"/>
  </cellStyleXfs>
  <cellXfs count="45">
    <xf numFmtId="0" fontId="0" fillId="0" borderId="0" xfId="0"/>
    <xf numFmtId="3" fontId="0" fillId="0" borderId="0" xfId="0" applyNumberFormat="1"/>
    <xf numFmtId="0" fontId="6" fillId="0" borderId="0" xfId="2" applyFont="1" applyAlignment="1">
      <alignment vertical="center" wrapText="1"/>
    </xf>
    <xf numFmtId="0" fontId="7" fillId="0" borderId="0" xfId="2" applyFont="1" applyAlignment="1">
      <alignment vertical="center" wrapText="1"/>
    </xf>
    <xf numFmtId="164" fontId="6" fillId="0" borderId="0" xfId="2" applyNumberFormat="1" applyFont="1" applyAlignment="1">
      <alignment vertical="center" wrapText="1"/>
    </xf>
    <xf numFmtId="0" fontId="8" fillId="0" borderId="0" xfId="2" applyFont="1" applyAlignment="1">
      <alignment vertical="center" wrapText="1"/>
    </xf>
    <xf numFmtId="0" fontId="9" fillId="0" borderId="0" xfId="2" applyFont="1" applyAlignment="1">
      <alignment vertical="top"/>
    </xf>
    <xf numFmtId="0" fontId="3" fillId="0" borderId="0" xfId="2" applyFont="1" applyAlignment="1">
      <alignment vertical="top"/>
    </xf>
    <xf numFmtId="0" fontId="3" fillId="0" borderId="0" xfId="2" applyFont="1" applyAlignment="1">
      <alignment horizontal="right"/>
    </xf>
    <xf numFmtId="165" fontId="3" fillId="0" borderId="0" xfId="2" applyNumberFormat="1" applyFont="1" applyAlignment="1">
      <alignment horizontal="right"/>
    </xf>
    <xf numFmtId="165" fontId="3" fillId="0" borderId="0" xfId="2" applyNumberFormat="1" applyFont="1" applyAlignment="1">
      <alignment vertical="top"/>
    </xf>
    <xf numFmtId="1" fontId="3" fillId="0" borderId="0" xfId="2" applyNumberFormat="1" applyFont="1" applyAlignment="1">
      <alignment vertical="top"/>
    </xf>
    <xf numFmtId="0" fontId="3" fillId="0" borderId="0" xfId="2" applyFont="1"/>
    <xf numFmtId="0" fontId="3" fillId="0" borderId="0" xfId="2" applyFont="1" applyAlignment="1">
      <alignment vertical="top" wrapText="1"/>
    </xf>
    <xf numFmtId="0" fontId="10" fillId="0" borderId="0" xfId="2" applyFont="1"/>
    <xf numFmtId="0" fontId="4" fillId="0" borderId="0" xfId="2" applyFont="1"/>
    <xf numFmtId="165" fontId="4" fillId="0" borderId="0" xfId="2" applyNumberFormat="1" applyFont="1"/>
    <xf numFmtId="1" fontId="4" fillId="0" borderId="0" xfId="2" applyNumberFormat="1" applyFont="1"/>
    <xf numFmtId="0" fontId="4" fillId="0" borderId="0" xfId="2" applyFont="1" applyAlignment="1">
      <alignment wrapText="1"/>
    </xf>
    <xf numFmtId="0" fontId="11" fillId="0" borderId="0" xfId="3" applyFill="1" applyAlignment="1"/>
    <xf numFmtId="0" fontId="11" fillId="0" borderId="0" xfId="3"/>
    <xf numFmtId="0" fontId="11" fillId="0" borderId="0" xfId="3" applyFill="1"/>
    <xf numFmtId="0" fontId="3" fillId="2" borderId="0" xfId="2" applyFont="1" applyFill="1" applyAlignment="1">
      <alignment vertical="top"/>
    </xf>
    <xf numFmtId="0" fontId="3" fillId="2" borderId="0" xfId="2" applyFont="1" applyFill="1" applyAlignment="1">
      <alignment horizontal="right"/>
    </xf>
    <xf numFmtId="165" fontId="3" fillId="2" borderId="0" xfId="2" applyNumberFormat="1" applyFont="1" applyFill="1" applyAlignment="1">
      <alignment horizontal="right"/>
    </xf>
    <xf numFmtId="165" fontId="3" fillId="2" borderId="0" xfId="2" applyNumberFormat="1" applyFont="1" applyFill="1" applyAlignment="1">
      <alignment vertical="top"/>
    </xf>
    <xf numFmtId="1" fontId="3" fillId="2" borderId="0" xfId="2" applyNumberFormat="1" applyFont="1" applyFill="1" applyAlignment="1">
      <alignment vertical="top"/>
    </xf>
    <xf numFmtId="0" fontId="3" fillId="2" borderId="0" xfId="2" applyFont="1" applyFill="1"/>
    <xf numFmtId="0" fontId="3" fillId="2" borderId="0" xfId="2" applyFont="1" applyFill="1" applyAlignment="1">
      <alignment vertical="top" wrapText="1"/>
    </xf>
    <xf numFmtId="0" fontId="10" fillId="2" borderId="0" xfId="2" applyFont="1" applyFill="1"/>
    <xf numFmtId="0" fontId="4" fillId="2" borderId="0" xfId="2" applyFont="1" applyFill="1"/>
    <xf numFmtId="0" fontId="9" fillId="2" borderId="0" xfId="2" applyFont="1" applyFill="1" applyAlignment="1">
      <alignment vertical="top"/>
    </xf>
    <xf numFmtId="0" fontId="12" fillId="0" borderId="0" xfId="2" applyFont="1"/>
    <xf numFmtId="0" fontId="13" fillId="0" borderId="0" xfId="2" applyFont="1" applyAlignment="1">
      <alignment horizontal="right"/>
    </xf>
    <xf numFmtId="0" fontId="5" fillId="0" borderId="0" xfId="2" applyFont="1" applyAlignment="1">
      <alignment horizontal="right"/>
    </xf>
    <xf numFmtId="165" fontId="5" fillId="0" borderId="0" xfId="2" applyNumberFormat="1" applyFont="1" applyAlignment="1">
      <alignment horizontal="right"/>
    </xf>
    <xf numFmtId="3" fontId="11" fillId="0" borderId="0" xfId="3" applyNumberFormat="1"/>
    <xf numFmtId="0" fontId="14" fillId="0" borderId="0" xfId="2" applyFont="1"/>
    <xf numFmtId="166" fontId="4" fillId="0" borderId="0" xfId="2" applyNumberFormat="1" applyFont="1"/>
    <xf numFmtId="2" fontId="4" fillId="0" borderId="0" xfId="2" applyNumberFormat="1" applyFont="1"/>
    <xf numFmtId="167" fontId="4" fillId="0" borderId="0" xfId="4" applyNumberFormat="1" applyFont="1"/>
    <xf numFmtId="0" fontId="15" fillId="0" borderId="0" xfId="0" applyFont="1"/>
    <xf numFmtId="167" fontId="0" fillId="0" borderId="0" xfId="1" applyNumberFormat="1" applyFont="1"/>
    <xf numFmtId="0" fontId="16" fillId="0" borderId="0" xfId="0" applyFont="1"/>
    <xf numFmtId="2" fontId="0" fillId="0" borderId="0" xfId="0" applyNumberFormat="1"/>
  </cellXfs>
  <cellStyles count="5">
    <cellStyle name="Comma" xfId="1" builtinId="3"/>
    <cellStyle name="Comma 2" xfId="4" xr:uid="{6318C1F3-899D-F344-964F-6CE9B9DF4AFD}"/>
    <cellStyle name="Hyperlink 2" xfId="3" xr:uid="{0B709529-D26C-644F-B389-FAD9894DA41C}"/>
    <cellStyle name="Normal" xfId="0" builtinId="0"/>
    <cellStyle name="Normal 2" xfId="2" xr:uid="{1CD9E624-C9E8-B140-B0AD-1373971846E5}"/>
  </cellStyles>
  <dxfs count="2">
    <dxf>
      <font>
        <b val="0"/>
        <i val="0"/>
        <strike val="0"/>
        <condense val="0"/>
        <extend val="0"/>
        <outline val="0"/>
        <shadow val="0"/>
        <u val="none"/>
        <vertAlign val="baseline"/>
        <sz val="11"/>
        <color theme="1"/>
        <name val="Calibri"/>
        <family val="2"/>
        <scheme val="minor"/>
      </font>
      <numFmt numFmtId="167" formatCode="_(* #,##0_);_(* \(#,##0\);_(* &quot;-&quot;??_);_(@_)"/>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Tohver, M. (Maian)" id="{0DC68F6B-C8BF-AA49-8ED5-F78BFB08ED35}" userId="S::m.tohver@uu.nl::284c2911-3e1e-4600-9daa-4fde604fe7da"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25760B-2CD8-914E-83CB-8DC400A3CB8A}" name="Table1" displayName="Table1" ref="A1:E71" totalsRowShown="0">
  <autoFilter ref="A1:E71" xr:uid="{C725760B-2CD8-914E-83CB-8DC400A3CB8A}"/>
  <tableColumns count="5">
    <tableColumn id="1" xr3:uid="{D2D2E348-F8E9-9042-AEE1-9FE9D92AE0B3}" name="Node"/>
    <tableColumn id="2" xr3:uid="{CF5424B2-B747-8C43-A2F3-2A453817F318}" name="Type"/>
    <tableColumn id="3" xr3:uid="{E8F771C7-61A3-EE4B-8FCA-EDFA2AAC2F8B}" name="Country">
      <calculatedColumnFormula>LEFT(A2,2)</calculatedColumnFormula>
    </tableColumn>
    <tableColumn id="4" xr3:uid="{825A86F1-ADC9-0A4D-8806-7D82329EB1A1}" name="x"/>
    <tableColumn id="5" xr3:uid="{357A4630-9949-8D46-A3D6-0F8619DC257B}" name="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98ECEC-84CC-8C4C-89D8-C0C7326FC773}" name="Table2" displayName="Table2" ref="A1:H16" totalsRowShown="0" headerRowDxfId="1">
  <autoFilter ref="A1:H16" xr:uid="{8198ECEC-84CC-8C4C-89D8-C0C7326FC773}"/>
  <tableColumns count="8">
    <tableColumn id="1" xr3:uid="{D2330856-3D51-2447-BAD1-42FD070A7C83}" name="Project"/>
    <tableColumn id="2" xr3:uid="{E550573D-495D-FB4D-9952-E0A70DC9A0DD}" name="Country code"/>
    <tableColumn id="3" xr3:uid="{9607EDC7-8802-7840-AD53-E581C120BCE1}" name="Node code"/>
    <tableColumn id="4" xr3:uid="{061A4306-E199-5042-9D22-74493DDACE4C}" name="Existing or new?"/>
    <tableColumn id="7" xr3:uid="{33C9E816-ABF4-D94C-86A7-EC1574680166}" name="Coordinates"/>
    <tableColumn id="5" xr3:uid="{949981B5-0ABE-FD43-A1A8-8178B2562F0E}" name="size max (t)" dataDxfId="0" dataCellStyle="Comma"/>
    <tableColumn id="6" xr3:uid="{A3DDEF28-DE78-E047-A607-D6FCCE4682D6}" name="injection rate (t/hr)"/>
    <tableColumn id="8" xr3:uid="{B5A3C7FA-B660-B043-858C-E82B43C2F92D}"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3-20T13:36:48.80" personId="{0DC68F6B-C8BF-AA49-8ED5-F78BFB08ED35}" id="{82C12133-464F-AC4F-A509-9A80C400E6B2}">
    <text>including the sites as one location; same formation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equinor.com/news/archive/20220405-awarded-smeaheia-polaris-co2-licenses" TargetMode="External"/><Relationship Id="rId13" Type="http://schemas.openxmlformats.org/officeDocument/2006/relationships/hyperlink" Target="https://www.oedigital.com/news/503196-sval-partners-with-storegga-and-neptune-for-trudvang-offshore-co2-storage-project" TargetMode="External"/><Relationship Id="rId18" Type="http://schemas.openxmlformats.org/officeDocument/2006/relationships/hyperlink" Target="https://www.neptuneenergy.com/sites/neptuneenergy-corp/files/esg/climate-change-and-environment/integrated%20energy%20hubs/L10%20CCS%20Final.pdf" TargetMode="External"/><Relationship Id="rId26" Type="http://schemas.openxmlformats.org/officeDocument/2006/relationships/hyperlink" Target="https://www.equinor.com/news/20240620-two-new-co2-storage-licenses-in-the-north-sea" TargetMode="External"/><Relationship Id="rId3" Type="http://schemas.openxmlformats.org/officeDocument/2006/relationships/hyperlink" Target="https://projectgreensand.com/" TargetMode="External"/><Relationship Id="rId21" Type="http://schemas.openxmlformats.org/officeDocument/2006/relationships/hyperlink" Target="https://assets.publishing.service.gov.uk/media/629525a0d3bf7f036750aff5/NS051-SS-REP-000-00010-Storage_Development_Plan.pdf" TargetMode="External"/><Relationship Id="rId7" Type="http://schemas.openxmlformats.org/officeDocument/2006/relationships/hyperlink" Target="https://www.horisontenergi.no/carbon-storage/" TargetMode="External"/><Relationship Id="rId12" Type="http://schemas.openxmlformats.org/officeDocument/2006/relationships/hyperlink" Target="https://www.vikingccs.co.uk/" TargetMode="External"/><Relationship Id="rId17" Type="http://schemas.openxmlformats.org/officeDocument/2006/relationships/hyperlink" Target="https://www.offshore-mag.com/regional-reports/north-sea-europe/article/14297839/nsta-green-lights-north-sea-orion-carbon-capture-project" TargetMode="External"/><Relationship Id="rId25" Type="http://schemas.openxmlformats.org/officeDocument/2006/relationships/hyperlink" Target="https://www.equinor.com/news/20240620-two-new-co2-storage-licenses-in-the-north-sea" TargetMode="External"/><Relationship Id="rId2" Type="http://schemas.openxmlformats.org/officeDocument/2006/relationships/hyperlink" Target="https://www.ep.total.com/en/innovations/research-development/total-invests-heavily-carbon-capture-utilization-and-storage-ccus" TargetMode="External"/><Relationship Id="rId16" Type="http://schemas.openxmlformats.org/officeDocument/2006/relationships/hyperlink" Target="https://www.offshore-energy.biz/four-out-of-six-companies-awarded-co2-storage-licenses-offshore-norway/" TargetMode="External"/><Relationship Id="rId20" Type="http://schemas.openxmlformats.org/officeDocument/2006/relationships/hyperlink" Target="https://climate.ec.europa.eu/system/files/2023-05/policy_ccs_implementation_presentations_20230330_en.pdf" TargetMode="External"/><Relationship Id="rId29" Type="http://schemas.openxmlformats.org/officeDocument/2006/relationships/comments" Target="../comments1.xml"/><Relationship Id="rId1" Type="http://schemas.openxmlformats.org/officeDocument/2006/relationships/hyperlink" Target="https://northernlightsccs.com/en/about" TargetMode="External"/><Relationship Id="rId6" Type="http://schemas.openxmlformats.org/officeDocument/2006/relationships/hyperlink" Target="https://www.carbfix.com/codaterminal" TargetMode="External"/><Relationship Id="rId11" Type="http://schemas.openxmlformats.org/officeDocument/2006/relationships/hyperlink" Target="https://theacornproject.uk/" TargetMode="External"/><Relationship Id="rId24" Type="http://schemas.openxmlformats.org/officeDocument/2006/relationships/hyperlink" Target="https://www.energyvoice.com/renewables-energy-transition/525772/perenco-north-sea-ccs-poseidon-orion/" TargetMode="External"/><Relationship Id="rId5" Type="http://schemas.openxmlformats.org/officeDocument/2006/relationships/hyperlink" Target="https://www.noreco.com/news/2021/q3/noreco-announces-the-ccs-partnership-project-bifrost" TargetMode="External"/><Relationship Id="rId15" Type="http://schemas.openxmlformats.org/officeDocument/2006/relationships/hyperlink" Target="https://akerbp.com/en/borsmelding/aker-bp-and-omv-awarded-licence-for-co2-storage-2/" TargetMode="External"/><Relationship Id="rId23" Type="http://schemas.openxmlformats.org/officeDocument/2006/relationships/hyperlink" Target="https://www.terega.fr/en/lab/pycasso-whats-that/" TargetMode="External"/><Relationship Id="rId28" Type="http://schemas.openxmlformats.org/officeDocument/2006/relationships/vmlDrawing" Target="../drawings/vmlDrawing1.vml"/><Relationship Id="rId10" Type="http://schemas.openxmlformats.org/officeDocument/2006/relationships/hyperlink" Target="https://www.eni.com/static/bactonthamesnetzero/" TargetMode="External"/><Relationship Id="rId19" Type="http://schemas.openxmlformats.org/officeDocument/2006/relationships/hyperlink" Target="https://norneccs.com/en/" TargetMode="External"/><Relationship Id="rId4" Type="http://schemas.openxmlformats.org/officeDocument/2006/relationships/hyperlink" Target="https://www.eni.com/ravenna-ccs/en-IT/project/ravenna-hub.html" TargetMode="External"/><Relationship Id="rId9" Type="http://schemas.openxmlformats.org/officeDocument/2006/relationships/hyperlink" Target="https://wintershalldea.com/en/newsroom/wintershall-dea-awarded-its-first-co2-licence-norway" TargetMode="External"/><Relationship Id="rId14" Type="http://schemas.openxmlformats.org/officeDocument/2006/relationships/hyperlink" Target="https://www.spirit-energy.com/newsroom/press-releases/spirit-energy-launches-plan-for-carbon-storage-cluster/" TargetMode="External"/><Relationship Id="rId22" Type="http://schemas.openxmlformats.org/officeDocument/2006/relationships/hyperlink" Target="https://www.energean.com/operations/greece/prinos-co2/" TargetMode="External"/><Relationship Id="rId27" Type="http://schemas.openxmlformats.org/officeDocument/2006/relationships/hyperlink" Target="https://sequestration.mit.edu/tools/projects/snohvit.html;" TargetMode="External"/><Relationship Id="rId30"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opLeftCell="A34" zoomScale="125" workbookViewId="0">
      <selection activeCell="A59" sqref="A59:XFD59"/>
    </sheetView>
  </sheetViews>
  <sheetFormatPr baseColWidth="10" defaultColWidth="8.83203125" defaultRowHeight="15" x14ac:dyDescent="0.2"/>
  <cols>
    <col min="2" max="2" width="20.5" bestFit="1" customWidth="1"/>
    <col min="3" max="3" width="9.6640625" customWidth="1"/>
  </cols>
  <sheetData>
    <row r="1" spans="1:5" x14ac:dyDescent="0.2">
      <c r="A1" t="s">
        <v>0</v>
      </c>
      <c r="B1" t="s">
        <v>17</v>
      </c>
      <c r="C1" t="s">
        <v>29</v>
      </c>
      <c r="D1" t="s">
        <v>30</v>
      </c>
      <c r="E1" t="s">
        <v>31</v>
      </c>
    </row>
    <row r="2" spans="1:5" x14ac:dyDescent="0.2">
      <c r="A2" t="s">
        <v>26</v>
      </c>
      <c r="B2" t="s">
        <v>45</v>
      </c>
      <c r="C2" t="str">
        <f t="shared" ref="C2:C39" si="0">LEFT(A2,2)</f>
        <v>BE</v>
      </c>
      <c r="D2">
        <v>2.4529999999999998</v>
      </c>
      <c r="E2">
        <v>51.496000000000002</v>
      </c>
    </row>
    <row r="3" spans="1:5" x14ac:dyDescent="0.2">
      <c r="A3" t="s">
        <v>43</v>
      </c>
      <c r="B3" t="s">
        <v>44</v>
      </c>
      <c r="C3" t="str">
        <f t="shared" si="0"/>
        <v>BE</v>
      </c>
      <c r="D3">
        <v>2.89</v>
      </c>
      <c r="E3">
        <v>51.612000000000002</v>
      </c>
    </row>
    <row r="4" spans="1:5" x14ac:dyDescent="0.2">
      <c r="A4" t="s">
        <v>13</v>
      </c>
      <c r="B4" t="s">
        <v>18</v>
      </c>
      <c r="C4" t="str">
        <f t="shared" si="0"/>
        <v>BE</v>
      </c>
      <c r="D4">
        <v>3.056</v>
      </c>
      <c r="E4">
        <v>51.011000000000003</v>
      </c>
    </row>
    <row r="5" spans="1:5" x14ac:dyDescent="0.2">
      <c r="A5" t="s">
        <v>4</v>
      </c>
      <c r="B5" t="s">
        <v>18</v>
      </c>
      <c r="C5" t="str">
        <f t="shared" si="0"/>
        <v>BE</v>
      </c>
      <c r="D5">
        <v>4.8520000000000003</v>
      </c>
      <c r="E5">
        <v>50.595999999999997</v>
      </c>
    </row>
    <row r="6" spans="1:5" x14ac:dyDescent="0.2">
      <c r="A6" t="s">
        <v>19</v>
      </c>
      <c r="B6" t="s">
        <v>45</v>
      </c>
      <c r="C6" t="str">
        <f t="shared" si="0"/>
        <v>DE</v>
      </c>
      <c r="D6">
        <v>6.4409999999999998</v>
      </c>
      <c r="E6">
        <v>54.177</v>
      </c>
    </row>
    <row r="7" spans="1:5" x14ac:dyDescent="0.2">
      <c r="A7" t="s">
        <v>20</v>
      </c>
      <c r="B7" t="s">
        <v>45</v>
      </c>
      <c r="C7" t="str">
        <f t="shared" si="0"/>
        <v>DE</v>
      </c>
      <c r="D7">
        <v>6.0330000000000004</v>
      </c>
      <c r="E7">
        <v>54.66</v>
      </c>
    </row>
    <row r="8" spans="1:5" x14ac:dyDescent="0.2">
      <c r="A8" t="s">
        <v>37</v>
      </c>
      <c r="B8" t="s">
        <v>44</v>
      </c>
      <c r="C8" t="str">
        <f t="shared" si="0"/>
        <v>DE</v>
      </c>
      <c r="D8">
        <v>6.1130000000000004</v>
      </c>
      <c r="E8">
        <v>54.387999999999998</v>
      </c>
    </row>
    <row r="9" spans="1:5" x14ac:dyDescent="0.2">
      <c r="A9" t="s">
        <v>42</v>
      </c>
      <c r="B9" t="s">
        <v>44</v>
      </c>
      <c r="C9" t="str">
        <f t="shared" si="0"/>
        <v>DE</v>
      </c>
      <c r="D9">
        <v>6.5910000000000002</v>
      </c>
      <c r="E9">
        <v>54.021999999999998</v>
      </c>
    </row>
    <row r="10" spans="1:5" x14ac:dyDescent="0.2">
      <c r="A10" t="s">
        <v>41</v>
      </c>
      <c r="B10" t="s">
        <v>44</v>
      </c>
      <c r="C10" t="str">
        <f t="shared" si="0"/>
        <v>DE</v>
      </c>
      <c r="D10">
        <v>7.6970000000000001</v>
      </c>
      <c r="E10">
        <v>54.453000000000003</v>
      </c>
    </row>
    <row r="11" spans="1:5" x14ac:dyDescent="0.2">
      <c r="A11" t="s">
        <v>33</v>
      </c>
      <c r="B11" t="s">
        <v>44</v>
      </c>
      <c r="C11" t="str">
        <f t="shared" si="0"/>
        <v>DE</v>
      </c>
      <c r="D11">
        <v>7.21</v>
      </c>
      <c r="E11">
        <v>55.131999999999998</v>
      </c>
    </row>
    <row r="12" spans="1:5" x14ac:dyDescent="0.2">
      <c r="A12" t="s">
        <v>7</v>
      </c>
      <c r="B12" t="s">
        <v>18</v>
      </c>
      <c r="C12" t="str">
        <f t="shared" si="0"/>
        <v>DE</v>
      </c>
      <c r="D12">
        <v>6.9630000000000001</v>
      </c>
      <c r="E12">
        <v>51.387</v>
      </c>
    </row>
    <row r="13" spans="1:5" x14ac:dyDescent="0.2">
      <c r="A13" t="s">
        <v>12</v>
      </c>
      <c r="B13" t="s">
        <v>18</v>
      </c>
      <c r="C13" t="str">
        <f t="shared" si="0"/>
        <v>DE</v>
      </c>
      <c r="D13">
        <v>7.8</v>
      </c>
      <c r="E13">
        <v>52.947000000000003</v>
      </c>
    </row>
    <row r="14" spans="1:5" x14ac:dyDescent="0.2">
      <c r="A14" t="s">
        <v>5</v>
      </c>
      <c r="B14" t="s">
        <v>18</v>
      </c>
      <c r="C14" t="str">
        <f t="shared" si="0"/>
        <v>DE</v>
      </c>
      <c r="D14">
        <v>9.8059999999999992</v>
      </c>
      <c r="E14">
        <v>53.68</v>
      </c>
    </row>
    <row r="15" spans="1:5" x14ac:dyDescent="0.2">
      <c r="A15" t="s">
        <v>1</v>
      </c>
      <c r="B15" t="s">
        <v>18</v>
      </c>
      <c r="C15" t="str">
        <f t="shared" si="0"/>
        <v>DE</v>
      </c>
      <c r="D15">
        <v>10.785</v>
      </c>
      <c r="E15">
        <v>50.637</v>
      </c>
    </row>
    <row r="16" spans="1:5" x14ac:dyDescent="0.2">
      <c r="A16" t="s">
        <v>28</v>
      </c>
      <c r="B16" t="s">
        <v>45</v>
      </c>
      <c r="C16" t="str">
        <f t="shared" si="0"/>
        <v>DK</v>
      </c>
      <c r="D16">
        <v>7.6520000000000001</v>
      </c>
      <c r="E16">
        <v>56.326000000000001</v>
      </c>
    </row>
    <row r="17" spans="1:5" x14ac:dyDescent="0.2">
      <c r="A17" t="s">
        <v>36</v>
      </c>
      <c r="B17" t="s">
        <v>44</v>
      </c>
      <c r="C17" t="str">
        <f t="shared" si="0"/>
        <v>DK</v>
      </c>
      <c r="D17">
        <v>7.7460000000000004</v>
      </c>
      <c r="E17">
        <v>55.750999999999998</v>
      </c>
    </row>
    <row r="18" spans="1:5" x14ac:dyDescent="0.2">
      <c r="A18" t="s">
        <v>3</v>
      </c>
      <c r="B18" t="s">
        <v>18</v>
      </c>
      <c r="C18" t="str">
        <f t="shared" si="0"/>
        <v>DK</v>
      </c>
      <c r="D18">
        <v>10.051</v>
      </c>
      <c r="E18">
        <v>55.959000000000003</v>
      </c>
    </row>
    <row r="19" spans="1:5" x14ac:dyDescent="0.2">
      <c r="A19" t="s">
        <v>21</v>
      </c>
      <c r="B19" t="s">
        <v>45</v>
      </c>
      <c r="C19" t="str">
        <f t="shared" si="0"/>
        <v>NL</v>
      </c>
      <c r="D19">
        <v>3.6080000000000001</v>
      </c>
      <c r="E19">
        <v>52.927999999999997</v>
      </c>
    </row>
    <row r="20" spans="1:5" x14ac:dyDescent="0.2">
      <c r="A20" t="s">
        <v>22</v>
      </c>
      <c r="B20" t="s">
        <v>45</v>
      </c>
      <c r="C20" t="str">
        <f t="shared" si="0"/>
        <v>NL</v>
      </c>
      <c r="D20">
        <v>3.1779999999999999</v>
      </c>
      <c r="E20">
        <v>53.1</v>
      </c>
    </row>
    <row r="21" spans="1:5" x14ac:dyDescent="0.2">
      <c r="A21" t="s">
        <v>40</v>
      </c>
      <c r="B21" t="s">
        <v>44</v>
      </c>
      <c r="C21" t="str">
        <f t="shared" si="0"/>
        <v>NL</v>
      </c>
      <c r="D21">
        <v>2.99</v>
      </c>
      <c r="E21">
        <v>51.698</v>
      </c>
    </row>
    <row r="22" spans="1:5" x14ac:dyDescent="0.2">
      <c r="A22" t="s">
        <v>39</v>
      </c>
      <c r="B22" t="s">
        <v>44</v>
      </c>
      <c r="C22" t="str">
        <f t="shared" si="0"/>
        <v>NL</v>
      </c>
      <c r="D22">
        <v>4.01</v>
      </c>
      <c r="E22">
        <v>52.518999999999998</v>
      </c>
    </row>
    <row r="23" spans="1:5" x14ac:dyDescent="0.2">
      <c r="A23" t="s">
        <v>35</v>
      </c>
      <c r="B23" t="s">
        <v>44</v>
      </c>
      <c r="C23" t="str">
        <f t="shared" si="0"/>
        <v>NL</v>
      </c>
      <c r="D23">
        <v>5.9640000000000004</v>
      </c>
      <c r="E23">
        <v>54.036000000000001</v>
      </c>
    </row>
    <row r="24" spans="1:5" x14ac:dyDescent="0.2">
      <c r="A24" t="s">
        <v>10</v>
      </c>
      <c r="B24" t="s">
        <v>18</v>
      </c>
      <c r="C24" t="str">
        <f t="shared" si="0"/>
        <v>NL</v>
      </c>
      <c r="D24">
        <v>4.2439999999999998</v>
      </c>
      <c r="E24">
        <v>51.761000000000003</v>
      </c>
    </row>
    <row r="25" spans="1:5" x14ac:dyDescent="0.2">
      <c r="A25" t="s">
        <v>9</v>
      </c>
      <c r="B25" t="s">
        <v>18</v>
      </c>
      <c r="C25" t="str">
        <f t="shared" si="0"/>
        <v>NL</v>
      </c>
      <c r="D25">
        <v>4.9950000000000001</v>
      </c>
      <c r="E25">
        <v>52.45</v>
      </c>
    </row>
    <row r="26" spans="1:5" x14ac:dyDescent="0.2">
      <c r="A26" t="s">
        <v>8</v>
      </c>
      <c r="B26" t="s">
        <v>18</v>
      </c>
      <c r="C26" t="str">
        <f t="shared" si="0"/>
        <v>NL</v>
      </c>
      <c r="D26">
        <v>6.1239999999999997</v>
      </c>
      <c r="E26">
        <v>52.95</v>
      </c>
    </row>
    <row r="27" spans="1:5" x14ac:dyDescent="0.2">
      <c r="A27" t="s">
        <v>11</v>
      </c>
      <c r="B27" t="s">
        <v>18</v>
      </c>
      <c r="C27" t="str">
        <f t="shared" si="0"/>
        <v>NL</v>
      </c>
      <c r="D27">
        <v>5.8019999999999996</v>
      </c>
      <c r="E27">
        <v>51.866</v>
      </c>
    </row>
    <row r="28" spans="1:5" x14ac:dyDescent="0.2">
      <c r="A28" t="s">
        <v>16</v>
      </c>
      <c r="B28" t="s">
        <v>18</v>
      </c>
      <c r="C28" t="str">
        <f t="shared" si="0"/>
        <v>NO</v>
      </c>
      <c r="D28">
        <v>7.5910000000000002</v>
      </c>
      <c r="E28">
        <v>59.381999999999998</v>
      </c>
    </row>
    <row r="29" spans="1:5" x14ac:dyDescent="0.2">
      <c r="A29" t="s">
        <v>25</v>
      </c>
      <c r="B29" t="s">
        <v>45</v>
      </c>
      <c r="C29" t="str">
        <f t="shared" si="0"/>
        <v>UK</v>
      </c>
      <c r="D29">
        <v>1.1679999999999999</v>
      </c>
      <c r="E29">
        <v>53.49</v>
      </c>
    </row>
    <row r="30" spans="1:5" x14ac:dyDescent="0.2">
      <c r="A30" t="s">
        <v>24</v>
      </c>
      <c r="B30" t="s">
        <v>45</v>
      </c>
      <c r="C30" t="str">
        <f t="shared" si="0"/>
        <v>UK</v>
      </c>
      <c r="D30">
        <v>2.0179999999999998</v>
      </c>
      <c r="E30">
        <v>54.834000000000003</v>
      </c>
    </row>
    <row r="31" spans="1:5" x14ac:dyDescent="0.2">
      <c r="A31" t="s">
        <v>27</v>
      </c>
      <c r="B31" t="s">
        <v>45</v>
      </c>
      <c r="C31" t="str">
        <f t="shared" si="0"/>
        <v>UK</v>
      </c>
      <c r="D31">
        <v>-1.734</v>
      </c>
      <c r="E31">
        <v>56.383000000000003</v>
      </c>
    </row>
    <row r="32" spans="1:5" x14ac:dyDescent="0.2">
      <c r="A32" t="s">
        <v>23</v>
      </c>
      <c r="B32" t="s">
        <v>45</v>
      </c>
      <c r="C32" t="str">
        <f t="shared" si="0"/>
        <v>UK</v>
      </c>
      <c r="D32">
        <v>-2.7069999999999999</v>
      </c>
      <c r="E32">
        <v>58.180999999999997</v>
      </c>
    </row>
    <row r="33" spans="1:5" x14ac:dyDescent="0.2">
      <c r="A33" t="s">
        <v>34</v>
      </c>
      <c r="B33" t="s">
        <v>44</v>
      </c>
      <c r="C33" t="str">
        <f t="shared" si="0"/>
        <v>UK</v>
      </c>
      <c r="D33">
        <v>2.1259999999999999</v>
      </c>
      <c r="E33">
        <v>53.896000000000001</v>
      </c>
    </row>
    <row r="34" spans="1:5" x14ac:dyDescent="0.2">
      <c r="A34" t="s">
        <v>32</v>
      </c>
      <c r="B34" t="s">
        <v>44</v>
      </c>
      <c r="C34" t="str">
        <f t="shared" si="0"/>
        <v>UK</v>
      </c>
      <c r="D34">
        <v>2.8380000000000001</v>
      </c>
      <c r="E34">
        <v>52.908000000000001</v>
      </c>
    </row>
    <row r="35" spans="1:5" x14ac:dyDescent="0.2">
      <c r="A35" t="s">
        <v>38</v>
      </c>
      <c r="B35" t="s">
        <v>44</v>
      </c>
      <c r="C35" t="str">
        <f t="shared" si="0"/>
        <v>UK</v>
      </c>
      <c r="D35">
        <v>2.2320000000000002</v>
      </c>
      <c r="E35">
        <v>52.11</v>
      </c>
    </row>
    <row r="36" spans="1:5" x14ac:dyDescent="0.2">
      <c r="A36" t="s">
        <v>15</v>
      </c>
      <c r="B36" t="s">
        <v>18</v>
      </c>
      <c r="C36" t="str">
        <f t="shared" si="0"/>
        <v>UK</v>
      </c>
      <c r="D36">
        <v>0.69599999999999995</v>
      </c>
      <c r="E36">
        <v>52.103999999999999</v>
      </c>
    </row>
    <row r="37" spans="1:5" x14ac:dyDescent="0.2">
      <c r="A37" t="s">
        <v>2</v>
      </c>
      <c r="B37" t="s">
        <v>18</v>
      </c>
      <c r="C37" t="str">
        <f t="shared" si="0"/>
        <v>UK</v>
      </c>
      <c r="D37">
        <v>-1.6639999999999999</v>
      </c>
      <c r="E37">
        <v>53.993000000000002</v>
      </c>
    </row>
    <row r="38" spans="1:5" x14ac:dyDescent="0.2">
      <c r="A38" t="s">
        <v>14</v>
      </c>
      <c r="B38" t="s">
        <v>18</v>
      </c>
      <c r="C38" t="str">
        <f t="shared" si="0"/>
        <v>UK</v>
      </c>
      <c r="D38">
        <v>-4.5810000000000004</v>
      </c>
      <c r="E38">
        <v>56.476999999999997</v>
      </c>
    </row>
    <row r="39" spans="1:5" x14ac:dyDescent="0.2">
      <c r="A39" t="s">
        <v>6</v>
      </c>
      <c r="B39" t="s">
        <v>18</v>
      </c>
      <c r="C39" t="str">
        <f t="shared" si="0"/>
        <v>UK</v>
      </c>
      <c r="D39">
        <v>-2.4449999999999998</v>
      </c>
      <c r="E39">
        <v>51.76</v>
      </c>
    </row>
    <row r="40" spans="1:5" x14ac:dyDescent="0.2">
      <c r="A40" t="s">
        <v>47</v>
      </c>
      <c r="B40" t="s">
        <v>46</v>
      </c>
      <c r="C40" t="str">
        <f>LEFT(A40,2)</f>
        <v>UK</v>
      </c>
      <c r="D40">
        <v>-0.18099999999999999</v>
      </c>
      <c r="E40">
        <v>60.304000000000002</v>
      </c>
    </row>
    <row r="41" spans="1:5" x14ac:dyDescent="0.2">
      <c r="A41" t="s">
        <v>48</v>
      </c>
      <c r="B41" t="s">
        <v>46</v>
      </c>
      <c r="C41" t="str">
        <f t="shared" ref="C41:C56" si="1">LEFT(A41,2)</f>
        <v>UK</v>
      </c>
      <c r="D41">
        <v>-5.0750000000000002</v>
      </c>
      <c r="E41">
        <v>58.83</v>
      </c>
    </row>
    <row r="42" spans="1:5" x14ac:dyDescent="0.2">
      <c r="A42" t="s">
        <v>49</v>
      </c>
      <c r="B42" t="s">
        <v>46</v>
      </c>
      <c r="C42" t="str">
        <f t="shared" si="1"/>
        <v>UK</v>
      </c>
      <c r="D42">
        <v>-1.294</v>
      </c>
      <c r="E42">
        <v>58.362000000000002</v>
      </c>
    </row>
    <row r="43" spans="1:5" x14ac:dyDescent="0.2">
      <c r="A43" t="s">
        <v>50</v>
      </c>
      <c r="B43" t="s">
        <v>46</v>
      </c>
      <c r="C43" t="str">
        <f t="shared" si="1"/>
        <v>UK</v>
      </c>
      <c r="D43">
        <v>-0.41799999999999998</v>
      </c>
      <c r="E43">
        <v>57.009</v>
      </c>
    </row>
    <row r="44" spans="1:5" x14ac:dyDescent="0.2">
      <c r="A44" t="s">
        <v>38</v>
      </c>
      <c r="B44" t="s">
        <v>46</v>
      </c>
      <c r="C44" t="str">
        <f t="shared" si="1"/>
        <v>UK</v>
      </c>
      <c r="D44">
        <v>1.2709999999999999</v>
      </c>
      <c r="E44">
        <v>54.039000000000001</v>
      </c>
    </row>
    <row r="45" spans="1:5" x14ac:dyDescent="0.2">
      <c r="A45" t="s">
        <v>32</v>
      </c>
      <c r="B45" t="s">
        <v>46</v>
      </c>
      <c r="C45" t="str">
        <f t="shared" si="1"/>
        <v>UK</v>
      </c>
      <c r="D45">
        <v>1.274</v>
      </c>
      <c r="E45">
        <v>53.226999999999997</v>
      </c>
    </row>
    <row r="46" spans="1:5" x14ac:dyDescent="0.2">
      <c r="A46" t="s">
        <v>34</v>
      </c>
      <c r="B46" t="s">
        <v>46</v>
      </c>
      <c r="C46" t="str">
        <f t="shared" si="1"/>
        <v>UK</v>
      </c>
      <c r="D46">
        <v>1.901</v>
      </c>
      <c r="E46">
        <v>51.755000000000003</v>
      </c>
    </row>
    <row r="47" spans="1:5" x14ac:dyDescent="0.2">
      <c r="A47" t="s">
        <v>51</v>
      </c>
      <c r="B47" t="s">
        <v>46</v>
      </c>
      <c r="C47" t="str">
        <f t="shared" si="1"/>
        <v>NO</v>
      </c>
      <c r="D47">
        <v>25.641999999999999</v>
      </c>
      <c r="E47">
        <v>71.424999999999997</v>
      </c>
    </row>
    <row r="48" spans="1:5" x14ac:dyDescent="0.2">
      <c r="A48" t="s">
        <v>52</v>
      </c>
      <c r="B48" t="s">
        <v>46</v>
      </c>
      <c r="C48" t="str">
        <f t="shared" si="1"/>
        <v>NO</v>
      </c>
      <c r="D48">
        <v>7.7690000000000001</v>
      </c>
      <c r="E48">
        <v>64.844999999999999</v>
      </c>
    </row>
    <row r="49" spans="1:11" x14ac:dyDescent="0.2">
      <c r="A49" t="s">
        <v>53</v>
      </c>
      <c r="B49" t="s">
        <v>46</v>
      </c>
      <c r="C49" t="str">
        <f t="shared" si="1"/>
        <v>NO</v>
      </c>
      <c r="D49">
        <v>4.1550000000000002</v>
      </c>
      <c r="E49">
        <v>59.642000000000003</v>
      </c>
    </row>
    <row r="50" spans="1:11" x14ac:dyDescent="0.2">
      <c r="A50" t="s">
        <v>54</v>
      </c>
      <c r="B50" t="s">
        <v>46</v>
      </c>
      <c r="C50" t="str">
        <f t="shared" si="1"/>
        <v>NO</v>
      </c>
      <c r="D50">
        <v>4.8019999999999996</v>
      </c>
      <c r="E50">
        <v>57.234999999999999</v>
      </c>
    </row>
    <row r="51" spans="1:11" x14ac:dyDescent="0.2">
      <c r="A51" t="s">
        <v>55</v>
      </c>
      <c r="B51" t="s">
        <v>46</v>
      </c>
      <c r="C51" t="str">
        <f t="shared" si="1"/>
        <v>NL</v>
      </c>
      <c r="D51">
        <v>5.6420000000000003</v>
      </c>
      <c r="E51">
        <v>54.021000000000001</v>
      </c>
    </row>
    <row r="52" spans="1:11" x14ac:dyDescent="0.2">
      <c r="A52" t="s">
        <v>56</v>
      </c>
      <c r="B52" t="s">
        <v>46</v>
      </c>
      <c r="C52" t="str">
        <f t="shared" si="1"/>
        <v>NL</v>
      </c>
      <c r="D52">
        <v>3.9359999999999999</v>
      </c>
      <c r="E52">
        <v>53.177999999999997</v>
      </c>
      <c r="K52" s="1"/>
    </row>
    <row r="53" spans="1:11" x14ac:dyDescent="0.2">
      <c r="A53" t="s">
        <v>57</v>
      </c>
      <c r="B53" t="s">
        <v>46</v>
      </c>
      <c r="C53" t="str">
        <f t="shared" si="1"/>
        <v>DK</v>
      </c>
      <c r="D53">
        <v>6.6260000000000003</v>
      </c>
      <c r="E53">
        <v>56.265999999999998</v>
      </c>
      <c r="K53" s="1"/>
    </row>
    <row r="54" spans="1:11" x14ac:dyDescent="0.2">
      <c r="A54" t="s">
        <v>58</v>
      </c>
      <c r="B54" t="s">
        <v>46</v>
      </c>
      <c r="C54" t="str">
        <f t="shared" si="1"/>
        <v>DE</v>
      </c>
      <c r="D54">
        <v>3.637</v>
      </c>
      <c r="E54">
        <v>55.784999999999997</v>
      </c>
      <c r="K54" s="1"/>
    </row>
    <row r="55" spans="1:11" x14ac:dyDescent="0.2">
      <c r="A55" t="s">
        <v>59</v>
      </c>
      <c r="B55" t="s">
        <v>46</v>
      </c>
      <c r="C55" t="str">
        <f t="shared" si="1"/>
        <v>DE</v>
      </c>
      <c r="D55">
        <v>5.0640000000000001</v>
      </c>
      <c r="E55">
        <v>55.156999999999996</v>
      </c>
      <c r="K55" s="1"/>
    </row>
    <row r="56" spans="1:11" x14ac:dyDescent="0.2">
      <c r="A56" t="s">
        <v>60</v>
      </c>
      <c r="B56" t="s">
        <v>46</v>
      </c>
      <c r="C56" t="str">
        <f t="shared" si="1"/>
        <v>DE</v>
      </c>
      <c r="D56">
        <v>6.3609999999999998</v>
      </c>
      <c r="E56">
        <v>55.012</v>
      </c>
      <c r="K56" s="1"/>
    </row>
    <row r="57" spans="1:11" x14ac:dyDescent="0.2">
      <c r="A57" t="s">
        <v>209</v>
      </c>
      <c r="B57" t="s">
        <v>71</v>
      </c>
      <c r="C57" t="s">
        <v>72</v>
      </c>
      <c r="D57">
        <v>4.67</v>
      </c>
      <c r="E57">
        <v>56.35</v>
      </c>
    </row>
    <row r="58" spans="1:11" x14ac:dyDescent="0.2">
      <c r="A58" t="s">
        <v>219</v>
      </c>
      <c r="B58" t="s">
        <v>71</v>
      </c>
      <c r="C58" t="s">
        <v>98</v>
      </c>
      <c r="D58">
        <v>3.16</v>
      </c>
      <c r="E58">
        <v>60.46</v>
      </c>
    </row>
    <row r="59" spans="1:11" x14ac:dyDescent="0.2">
      <c r="A59" t="s">
        <v>212</v>
      </c>
      <c r="B59" t="s">
        <v>71</v>
      </c>
      <c r="C59" t="s">
        <v>98</v>
      </c>
      <c r="D59">
        <v>1.9</v>
      </c>
      <c r="E59">
        <v>58.35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994A1-993F-4B0E-B5C8-90E717560862}">
  <dimension ref="A1:E56"/>
  <sheetViews>
    <sheetView topLeftCell="A28" workbookViewId="0">
      <selection activeCell="E47" sqref="E47"/>
    </sheetView>
  </sheetViews>
  <sheetFormatPr baseColWidth="10" defaultColWidth="8.83203125" defaultRowHeight="15" x14ac:dyDescent="0.2"/>
  <cols>
    <col min="2" max="2" width="20.5" bestFit="1" customWidth="1"/>
  </cols>
  <sheetData>
    <row r="1" spans="1:5" x14ac:dyDescent="0.2">
      <c r="A1" t="s">
        <v>0</v>
      </c>
      <c r="B1" t="s">
        <v>17</v>
      </c>
      <c r="C1" t="s">
        <v>29</v>
      </c>
      <c r="D1" t="s">
        <v>30</v>
      </c>
      <c r="E1" t="s">
        <v>31</v>
      </c>
    </row>
    <row r="2" spans="1:5" x14ac:dyDescent="0.2">
      <c r="A2" t="s">
        <v>26</v>
      </c>
      <c r="B2" t="s">
        <v>45</v>
      </c>
      <c r="C2" t="str">
        <f t="shared" ref="C2:C39" si="0">LEFT(A2,2)</f>
        <v>BE</v>
      </c>
      <c r="D2">
        <v>2.4529999999999998</v>
      </c>
      <c r="E2">
        <v>51.496000000000002</v>
      </c>
    </row>
    <row r="3" spans="1:5" x14ac:dyDescent="0.2">
      <c r="A3" t="s">
        <v>43</v>
      </c>
      <c r="B3" t="s">
        <v>44</v>
      </c>
      <c r="C3" t="str">
        <f t="shared" si="0"/>
        <v>BE</v>
      </c>
      <c r="D3">
        <v>2.89</v>
      </c>
      <c r="E3">
        <v>51.612000000000002</v>
      </c>
    </row>
    <row r="4" spans="1:5" x14ac:dyDescent="0.2">
      <c r="A4" t="s">
        <v>13</v>
      </c>
      <c r="B4" t="s">
        <v>18</v>
      </c>
      <c r="C4" t="str">
        <f t="shared" si="0"/>
        <v>BE</v>
      </c>
      <c r="D4">
        <v>3.056</v>
      </c>
      <c r="E4">
        <v>51.011000000000003</v>
      </c>
    </row>
    <row r="5" spans="1:5" x14ac:dyDescent="0.2">
      <c r="A5" t="s">
        <v>4</v>
      </c>
      <c r="B5" t="s">
        <v>18</v>
      </c>
      <c r="C5" t="str">
        <f t="shared" si="0"/>
        <v>BE</v>
      </c>
      <c r="D5">
        <v>4.8520000000000003</v>
      </c>
      <c r="E5">
        <v>50.595999999999997</v>
      </c>
    </row>
    <row r="6" spans="1:5" x14ac:dyDescent="0.2">
      <c r="A6" t="s">
        <v>19</v>
      </c>
      <c r="B6" t="s">
        <v>45</v>
      </c>
      <c r="C6" t="str">
        <f t="shared" si="0"/>
        <v>DE</v>
      </c>
      <c r="D6">
        <v>6.4409999999999998</v>
      </c>
      <c r="E6">
        <v>54.177</v>
      </c>
    </row>
    <row r="7" spans="1:5" x14ac:dyDescent="0.2">
      <c r="A7" t="s">
        <v>20</v>
      </c>
      <c r="B7" t="s">
        <v>45</v>
      </c>
      <c r="C7" t="str">
        <f t="shared" si="0"/>
        <v>DE</v>
      </c>
      <c r="D7">
        <v>6.0330000000000004</v>
      </c>
      <c r="E7">
        <v>54.66</v>
      </c>
    </row>
    <row r="8" spans="1:5" x14ac:dyDescent="0.2">
      <c r="A8" t="s">
        <v>37</v>
      </c>
      <c r="B8" t="s">
        <v>44</v>
      </c>
      <c r="C8" t="str">
        <f t="shared" si="0"/>
        <v>DE</v>
      </c>
      <c r="D8">
        <v>6.1130000000000004</v>
      </c>
      <c r="E8">
        <v>54.387999999999998</v>
      </c>
    </row>
    <row r="9" spans="1:5" x14ac:dyDescent="0.2">
      <c r="A9" t="s">
        <v>42</v>
      </c>
      <c r="B9" t="s">
        <v>44</v>
      </c>
      <c r="C9" t="str">
        <f t="shared" si="0"/>
        <v>DE</v>
      </c>
      <c r="D9">
        <v>6.5910000000000002</v>
      </c>
      <c r="E9">
        <v>54.021999999999998</v>
      </c>
    </row>
    <row r="10" spans="1:5" x14ac:dyDescent="0.2">
      <c r="A10" t="s">
        <v>41</v>
      </c>
      <c r="B10" t="s">
        <v>44</v>
      </c>
      <c r="C10" t="str">
        <f t="shared" si="0"/>
        <v>DE</v>
      </c>
      <c r="D10">
        <v>7.6970000000000001</v>
      </c>
      <c r="E10">
        <v>54.453000000000003</v>
      </c>
    </row>
    <row r="11" spans="1:5" x14ac:dyDescent="0.2">
      <c r="A11" t="s">
        <v>33</v>
      </c>
      <c r="B11" t="s">
        <v>44</v>
      </c>
      <c r="C11" t="str">
        <f t="shared" si="0"/>
        <v>DE</v>
      </c>
      <c r="D11">
        <v>7.21</v>
      </c>
      <c r="E11">
        <v>55.131999999999998</v>
      </c>
    </row>
    <row r="12" spans="1:5" x14ac:dyDescent="0.2">
      <c r="A12" t="s">
        <v>7</v>
      </c>
      <c r="B12" t="s">
        <v>18</v>
      </c>
      <c r="C12" t="str">
        <f t="shared" si="0"/>
        <v>DE</v>
      </c>
      <c r="D12">
        <v>6.9630000000000001</v>
      </c>
      <c r="E12">
        <v>51.387</v>
      </c>
    </row>
    <row r="13" spans="1:5" x14ac:dyDescent="0.2">
      <c r="A13" t="s">
        <v>12</v>
      </c>
      <c r="B13" t="s">
        <v>18</v>
      </c>
      <c r="C13" t="str">
        <f t="shared" si="0"/>
        <v>DE</v>
      </c>
      <c r="D13">
        <v>7.8</v>
      </c>
      <c r="E13">
        <v>52.947000000000003</v>
      </c>
    </row>
    <row r="14" spans="1:5" x14ac:dyDescent="0.2">
      <c r="A14" t="s">
        <v>5</v>
      </c>
      <c r="B14" t="s">
        <v>18</v>
      </c>
      <c r="C14" t="str">
        <f t="shared" si="0"/>
        <v>DE</v>
      </c>
      <c r="D14">
        <v>9.8059999999999992</v>
      </c>
      <c r="E14">
        <v>53.68</v>
      </c>
    </row>
    <row r="15" spans="1:5" x14ac:dyDescent="0.2">
      <c r="A15" t="s">
        <v>1</v>
      </c>
      <c r="B15" t="s">
        <v>18</v>
      </c>
      <c r="C15" t="str">
        <f t="shared" si="0"/>
        <v>DE</v>
      </c>
      <c r="D15">
        <v>10.785</v>
      </c>
      <c r="E15">
        <v>50.637</v>
      </c>
    </row>
    <row r="16" spans="1:5" x14ac:dyDescent="0.2">
      <c r="A16" t="s">
        <v>28</v>
      </c>
      <c r="B16" t="s">
        <v>45</v>
      </c>
      <c r="C16" t="str">
        <f t="shared" si="0"/>
        <v>DK</v>
      </c>
      <c r="D16">
        <v>7.6520000000000001</v>
      </c>
      <c r="E16">
        <v>56.326000000000001</v>
      </c>
    </row>
    <row r="17" spans="1:5" x14ac:dyDescent="0.2">
      <c r="A17" t="s">
        <v>36</v>
      </c>
      <c r="B17" t="s">
        <v>44</v>
      </c>
      <c r="C17" t="str">
        <f t="shared" si="0"/>
        <v>DK</v>
      </c>
      <c r="D17">
        <v>7.7460000000000004</v>
      </c>
      <c r="E17">
        <v>55.750999999999998</v>
      </c>
    </row>
    <row r="18" spans="1:5" x14ac:dyDescent="0.2">
      <c r="A18" t="s">
        <v>3</v>
      </c>
      <c r="B18" t="s">
        <v>18</v>
      </c>
      <c r="C18" t="str">
        <f t="shared" si="0"/>
        <v>DK</v>
      </c>
      <c r="D18">
        <v>10.051</v>
      </c>
      <c r="E18">
        <v>55.959000000000003</v>
      </c>
    </row>
    <row r="19" spans="1:5" x14ac:dyDescent="0.2">
      <c r="A19" t="s">
        <v>21</v>
      </c>
      <c r="B19" t="s">
        <v>45</v>
      </c>
      <c r="C19" t="str">
        <f t="shared" si="0"/>
        <v>NL</v>
      </c>
      <c r="D19">
        <v>3.6080000000000001</v>
      </c>
      <c r="E19">
        <v>52.927999999999997</v>
      </c>
    </row>
    <row r="20" spans="1:5" x14ac:dyDescent="0.2">
      <c r="A20" t="s">
        <v>22</v>
      </c>
      <c r="B20" t="s">
        <v>45</v>
      </c>
      <c r="C20" t="str">
        <f t="shared" si="0"/>
        <v>NL</v>
      </c>
      <c r="D20">
        <v>3.1779999999999999</v>
      </c>
      <c r="E20">
        <v>53.1</v>
      </c>
    </row>
    <row r="21" spans="1:5" x14ac:dyDescent="0.2">
      <c r="A21" t="s">
        <v>40</v>
      </c>
      <c r="B21" t="s">
        <v>44</v>
      </c>
      <c r="C21" t="str">
        <f t="shared" si="0"/>
        <v>NL</v>
      </c>
      <c r="D21">
        <v>2.99</v>
      </c>
      <c r="E21">
        <v>51.698</v>
      </c>
    </row>
    <row r="22" spans="1:5" x14ac:dyDescent="0.2">
      <c r="A22" t="s">
        <v>39</v>
      </c>
      <c r="B22" t="s">
        <v>44</v>
      </c>
      <c r="C22" t="str">
        <f t="shared" si="0"/>
        <v>NL</v>
      </c>
      <c r="D22">
        <v>4.01</v>
      </c>
      <c r="E22">
        <v>52.518999999999998</v>
      </c>
    </row>
    <row r="23" spans="1:5" x14ac:dyDescent="0.2">
      <c r="A23" t="s">
        <v>35</v>
      </c>
      <c r="B23" t="s">
        <v>44</v>
      </c>
      <c r="C23" t="str">
        <f t="shared" si="0"/>
        <v>NL</v>
      </c>
      <c r="D23">
        <v>5.9640000000000004</v>
      </c>
      <c r="E23">
        <v>54.036000000000001</v>
      </c>
    </row>
    <row r="24" spans="1:5" x14ac:dyDescent="0.2">
      <c r="A24" t="s">
        <v>10</v>
      </c>
      <c r="B24" t="s">
        <v>18</v>
      </c>
      <c r="C24" t="str">
        <f t="shared" si="0"/>
        <v>NL</v>
      </c>
      <c r="D24">
        <v>4.2439999999999998</v>
      </c>
      <c r="E24">
        <v>51.761000000000003</v>
      </c>
    </row>
    <row r="25" spans="1:5" x14ac:dyDescent="0.2">
      <c r="A25" t="s">
        <v>9</v>
      </c>
      <c r="B25" t="s">
        <v>18</v>
      </c>
      <c r="C25" t="str">
        <f t="shared" si="0"/>
        <v>NL</v>
      </c>
      <c r="D25">
        <v>4.9950000000000001</v>
      </c>
      <c r="E25">
        <v>52.45</v>
      </c>
    </row>
    <row r="26" spans="1:5" x14ac:dyDescent="0.2">
      <c r="A26" t="s">
        <v>8</v>
      </c>
      <c r="B26" t="s">
        <v>18</v>
      </c>
      <c r="C26" t="str">
        <f t="shared" si="0"/>
        <v>NL</v>
      </c>
      <c r="D26">
        <v>6.1239999999999997</v>
      </c>
      <c r="E26">
        <v>52.95</v>
      </c>
    </row>
    <row r="27" spans="1:5" x14ac:dyDescent="0.2">
      <c r="A27" t="s">
        <v>11</v>
      </c>
      <c r="B27" t="s">
        <v>18</v>
      </c>
      <c r="C27" t="str">
        <f t="shared" si="0"/>
        <v>NL</v>
      </c>
      <c r="D27">
        <v>5.8019999999999996</v>
      </c>
      <c r="E27">
        <v>51.866</v>
      </c>
    </row>
    <row r="28" spans="1:5" x14ac:dyDescent="0.2">
      <c r="A28" t="s">
        <v>16</v>
      </c>
      <c r="B28" t="s">
        <v>18</v>
      </c>
      <c r="C28" t="str">
        <f t="shared" si="0"/>
        <v>NO</v>
      </c>
      <c r="D28">
        <v>7.5910000000000002</v>
      </c>
      <c r="E28">
        <v>59.381999999999998</v>
      </c>
    </row>
    <row r="29" spans="1:5" x14ac:dyDescent="0.2">
      <c r="A29" t="s">
        <v>25</v>
      </c>
      <c r="B29" t="s">
        <v>45</v>
      </c>
      <c r="C29" t="str">
        <f t="shared" si="0"/>
        <v>UK</v>
      </c>
      <c r="D29">
        <v>1.1679999999999999</v>
      </c>
      <c r="E29">
        <v>53.49</v>
      </c>
    </row>
    <row r="30" spans="1:5" x14ac:dyDescent="0.2">
      <c r="A30" t="s">
        <v>24</v>
      </c>
      <c r="B30" t="s">
        <v>45</v>
      </c>
      <c r="C30" t="str">
        <f t="shared" si="0"/>
        <v>UK</v>
      </c>
      <c r="D30">
        <v>2.0179999999999998</v>
      </c>
      <c r="E30">
        <v>54.834000000000003</v>
      </c>
    </row>
    <row r="31" spans="1:5" x14ac:dyDescent="0.2">
      <c r="A31" t="s">
        <v>27</v>
      </c>
      <c r="B31" t="s">
        <v>45</v>
      </c>
      <c r="C31" t="str">
        <f t="shared" si="0"/>
        <v>UK</v>
      </c>
      <c r="D31">
        <v>-1.734</v>
      </c>
      <c r="E31">
        <v>56.383000000000003</v>
      </c>
    </row>
    <row r="32" spans="1:5" x14ac:dyDescent="0.2">
      <c r="A32" t="s">
        <v>23</v>
      </c>
      <c r="B32" t="s">
        <v>45</v>
      </c>
      <c r="C32" t="str">
        <f t="shared" si="0"/>
        <v>UK</v>
      </c>
      <c r="D32">
        <v>-2.7069999999999999</v>
      </c>
      <c r="E32">
        <v>58.180999999999997</v>
      </c>
    </row>
    <row r="33" spans="1:5" x14ac:dyDescent="0.2">
      <c r="A33" t="s">
        <v>34</v>
      </c>
      <c r="B33" t="s">
        <v>44</v>
      </c>
      <c r="C33" t="str">
        <f t="shared" si="0"/>
        <v>UK</v>
      </c>
      <c r="D33">
        <v>2.1259999999999999</v>
      </c>
      <c r="E33">
        <v>53.896000000000001</v>
      </c>
    </row>
    <row r="34" spans="1:5" x14ac:dyDescent="0.2">
      <c r="A34" t="s">
        <v>32</v>
      </c>
      <c r="B34" t="s">
        <v>44</v>
      </c>
      <c r="C34" t="str">
        <f t="shared" si="0"/>
        <v>UK</v>
      </c>
      <c r="D34">
        <v>2.8380000000000001</v>
      </c>
      <c r="E34">
        <v>52.908000000000001</v>
      </c>
    </row>
    <row r="35" spans="1:5" x14ac:dyDescent="0.2">
      <c r="A35" t="s">
        <v>38</v>
      </c>
      <c r="B35" t="s">
        <v>44</v>
      </c>
      <c r="C35" t="str">
        <f t="shared" si="0"/>
        <v>UK</v>
      </c>
      <c r="D35">
        <v>2.2320000000000002</v>
      </c>
      <c r="E35">
        <v>52.11</v>
      </c>
    </row>
    <row r="36" spans="1:5" x14ac:dyDescent="0.2">
      <c r="A36" t="s">
        <v>15</v>
      </c>
      <c r="B36" t="s">
        <v>18</v>
      </c>
      <c r="C36" t="str">
        <f t="shared" si="0"/>
        <v>UK</v>
      </c>
      <c r="D36">
        <v>0.69599999999999995</v>
      </c>
      <c r="E36">
        <v>52.103999999999999</v>
      </c>
    </row>
    <row r="37" spans="1:5" x14ac:dyDescent="0.2">
      <c r="A37" t="s">
        <v>2</v>
      </c>
      <c r="B37" t="s">
        <v>18</v>
      </c>
      <c r="C37" t="str">
        <f t="shared" si="0"/>
        <v>UK</v>
      </c>
      <c r="D37">
        <v>-1.6639999999999999</v>
      </c>
      <c r="E37">
        <v>53.993000000000002</v>
      </c>
    </row>
    <row r="38" spans="1:5" x14ac:dyDescent="0.2">
      <c r="A38" t="s">
        <v>14</v>
      </c>
      <c r="B38" t="s">
        <v>18</v>
      </c>
      <c r="C38" t="str">
        <f t="shared" si="0"/>
        <v>UK</v>
      </c>
      <c r="D38">
        <v>-4.5810000000000004</v>
      </c>
      <c r="E38">
        <v>56.476999999999997</v>
      </c>
    </row>
    <row r="39" spans="1:5" x14ac:dyDescent="0.2">
      <c r="A39" t="s">
        <v>6</v>
      </c>
      <c r="B39" t="s">
        <v>18</v>
      </c>
      <c r="C39" t="str">
        <f t="shared" si="0"/>
        <v>UK</v>
      </c>
      <c r="D39">
        <v>-2.4449999999999998</v>
      </c>
      <c r="E39">
        <v>51.76</v>
      </c>
    </row>
    <row r="40" spans="1:5" x14ac:dyDescent="0.2">
      <c r="A40" t="s">
        <v>47</v>
      </c>
      <c r="B40" t="s">
        <v>46</v>
      </c>
      <c r="C40" t="str">
        <f>LEFT(A40,2)</f>
        <v>UK</v>
      </c>
      <c r="D40">
        <v>-0.18099999999999999</v>
      </c>
      <c r="E40">
        <v>60.304000000000002</v>
      </c>
    </row>
    <row r="41" spans="1:5" x14ac:dyDescent="0.2">
      <c r="A41" t="s">
        <v>48</v>
      </c>
      <c r="B41" t="s">
        <v>46</v>
      </c>
      <c r="C41" t="str">
        <f t="shared" ref="C41:C56" si="1">LEFT(A41,2)</f>
        <v>UK</v>
      </c>
      <c r="D41">
        <v>-5.0750000000000002</v>
      </c>
      <c r="E41">
        <v>58.83</v>
      </c>
    </row>
    <row r="42" spans="1:5" x14ac:dyDescent="0.2">
      <c r="A42" t="s">
        <v>49</v>
      </c>
      <c r="B42" t="s">
        <v>46</v>
      </c>
      <c r="C42" t="str">
        <f t="shared" si="1"/>
        <v>UK</v>
      </c>
      <c r="D42">
        <v>-1.294</v>
      </c>
      <c r="E42">
        <v>58.362000000000002</v>
      </c>
    </row>
    <row r="43" spans="1:5" x14ac:dyDescent="0.2">
      <c r="A43" t="s">
        <v>50</v>
      </c>
      <c r="B43" t="s">
        <v>46</v>
      </c>
      <c r="C43" t="str">
        <f t="shared" si="1"/>
        <v>UK</v>
      </c>
      <c r="D43">
        <v>-0.41799999999999998</v>
      </c>
      <c r="E43">
        <v>57.009</v>
      </c>
    </row>
    <row r="44" spans="1:5" x14ac:dyDescent="0.2">
      <c r="A44" t="s">
        <v>38</v>
      </c>
      <c r="B44" t="s">
        <v>46</v>
      </c>
      <c r="C44" t="str">
        <f t="shared" si="1"/>
        <v>UK</v>
      </c>
      <c r="D44">
        <v>1.2709999999999999</v>
      </c>
      <c r="E44">
        <v>54.039000000000001</v>
      </c>
    </row>
    <row r="45" spans="1:5" x14ac:dyDescent="0.2">
      <c r="A45" t="s">
        <v>32</v>
      </c>
      <c r="B45" t="s">
        <v>46</v>
      </c>
      <c r="C45" t="str">
        <f t="shared" si="1"/>
        <v>UK</v>
      </c>
      <c r="D45">
        <v>1.274</v>
      </c>
      <c r="E45">
        <v>53.226999999999997</v>
      </c>
    </row>
    <row r="46" spans="1:5" x14ac:dyDescent="0.2">
      <c r="A46" t="s">
        <v>34</v>
      </c>
      <c r="B46" t="s">
        <v>46</v>
      </c>
      <c r="C46" t="str">
        <f t="shared" si="1"/>
        <v>UK</v>
      </c>
      <c r="D46">
        <v>1.901</v>
      </c>
      <c r="E46">
        <v>51.755000000000003</v>
      </c>
    </row>
    <row r="47" spans="1:5" x14ac:dyDescent="0.2">
      <c r="A47" t="s">
        <v>51</v>
      </c>
      <c r="B47" t="s">
        <v>46</v>
      </c>
      <c r="C47" t="str">
        <f t="shared" si="1"/>
        <v>NO</v>
      </c>
      <c r="D47">
        <v>25.641999999999999</v>
      </c>
      <c r="E47">
        <v>71.424999999999997</v>
      </c>
    </row>
    <row r="48" spans="1:5" x14ac:dyDescent="0.2">
      <c r="A48" t="s">
        <v>52</v>
      </c>
      <c r="B48" t="s">
        <v>46</v>
      </c>
      <c r="C48" t="str">
        <f t="shared" si="1"/>
        <v>NO</v>
      </c>
      <c r="D48">
        <v>7.7690000000000001</v>
      </c>
      <c r="E48">
        <v>64.844999999999999</v>
      </c>
    </row>
    <row r="49" spans="1:5" x14ac:dyDescent="0.2">
      <c r="A49" t="s">
        <v>53</v>
      </c>
      <c r="B49" t="s">
        <v>46</v>
      </c>
      <c r="C49" t="str">
        <f t="shared" si="1"/>
        <v>NO</v>
      </c>
      <c r="D49">
        <v>4.1550000000000002</v>
      </c>
      <c r="E49">
        <v>59.642000000000003</v>
      </c>
    </row>
    <row r="50" spans="1:5" x14ac:dyDescent="0.2">
      <c r="A50" t="s">
        <v>54</v>
      </c>
      <c r="B50" t="s">
        <v>46</v>
      </c>
      <c r="C50" t="str">
        <f t="shared" si="1"/>
        <v>NO</v>
      </c>
      <c r="D50">
        <v>4.8019999999999996</v>
      </c>
      <c r="E50">
        <v>57.234999999999999</v>
      </c>
    </row>
    <row r="51" spans="1:5" x14ac:dyDescent="0.2">
      <c r="A51" t="s">
        <v>55</v>
      </c>
      <c r="B51" t="s">
        <v>46</v>
      </c>
      <c r="C51" t="str">
        <f t="shared" si="1"/>
        <v>NL</v>
      </c>
      <c r="D51">
        <v>5.6420000000000003</v>
      </c>
      <c r="E51">
        <v>54.021000000000001</v>
      </c>
    </row>
    <row r="52" spans="1:5" x14ac:dyDescent="0.2">
      <c r="A52" t="s">
        <v>56</v>
      </c>
      <c r="B52" t="s">
        <v>46</v>
      </c>
      <c r="C52" t="str">
        <f t="shared" si="1"/>
        <v>NL</v>
      </c>
      <c r="D52">
        <v>3.9359999999999999</v>
      </c>
      <c r="E52">
        <v>53.177999999999997</v>
      </c>
    </row>
    <row r="53" spans="1:5" x14ac:dyDescent="0.2">
      <c r="A53" t="s">
        <v>57</v>
      </c>
      <c r="B53" t="s">
        <v>46</v>
      </c>
      <c r="C53" t="str">
        <f t="shared" si="1"/>
        <v>DK</v>
      </c>
      <c r="D53">
        <v>6.6260000000000003</v>
      </c>
      <c r="E53">
        <v>56.265999999999998</v>
      </c>
    </row>
    <row r="54" spans="1:5" x14ac:dyDescent="0.2">
      <c r="A54" t="s">
        <v>58</v>
      </c>
      <c r="B54" t="s">
        <v>46</v>
      </c>
      <c r="C54" t="str">
        <f t="shared" si="1"/>
        <v>DE</v>
      </c>
      <c r="D54">
        <v>3.637</v>
      </c>
      <c r="E54">
        <v>55.784999999999997</v>
      </c>
    </row>
    <row r="55" spans="1:5" x14ac:dyDescent="0.2">
      <c r="A55" t="s">
        <v>59</v>
      </c>
      <c r="B55" t="s">
        <v>46</v>
      </c>
      <c r="C55" t="str">
        <f t="shared" si="1"/>
        <v>DE</v>
      </c>
      <c r="D55">
        <v>5.0640000000000001</v>
      </c>
      <c r="E55">
        <v>55.156999999999996</v>
      </c>
    </row>
    <row r="56" spans="1:5" x14ac:dyDescent="0.2">
      <c r="A56" t="s">
        <v>60</v>
      </c>
      <c r="B56" t="s">
        <v>46</v>
      </c>
      <c r="C56" t="str">
        <f t="shared" si="1"/>
        <v>DE</v>
      </c>
      <c r="D56">
        <v>6.3609999999999998</v>
      </c>
      <c r="E56">
        <v>55.012</v>
      </c>
    </row>
  </sheetData>
  <autoFilter ref="A1:E28" xr:uid="{AB4994A1-993F-4B0E-B5C8-90E717560862}">
    <sortState xmlns:xlrd2="http://schemas.microsoft.com/office/spreadsheetml/2017/richdata2" ref="A2:E39">
      <sortCondition ref="A1:A2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D8C9-E4BC-0046-BBBC-6939452B3EA0}">
  <dimension ref="A1:H19"/>
  <sheetViews>
    <sheetView tabSelected="1" zoomScale="131" workbookViewId="0">
      <selection activeCell="G3" sqref="G3:G16"/>
    </sheetView>
  </sheetViews>
  <sheetFormatPr baseColWidth="10" defaultRowHeight="15" x14ac:dyDescent="0.2"/>
  <cols>
    <col min="1" max="1" width="29.83203125" customWidth="1"/>
    <col min="2" max="2" width="13.83203125" customWidth="1"/>
    <col min="3" max="3" width="11.83203125" customWidth="1"/>
    <col min="4" max="5" width="15.83203125" customWidth="1"/>
    <col min="6" max="6" width="14.6640625" bestFit="1" customWidth="1"/>
    <col min="7" max="7" width="18.5" customWidth="1"/>
  </cols>
  <sheetData>
    <row r="1" spans="1:8" x14ac:dyDescent="0.2">
      <c r="A1" s="41" t="s">
        <v>197</v>
      </c>
      <c r="B1" s="41" t="s">
        <v>198</v>
      </c>
      <c r="C1" s="41" t="s">
        <v>199</v>
      </c>
      <c r="D1" s="41" t="s">
        <v>200</v>
      </c>
      <c r="E1" s="41" t="s">
        <v>208</v>
      </c>
      <c r="F1" s="41" t="s">
        <v>202</v>
      </c>
      <c r="G1" s="41" t="s">
        <v>203</v>
      </c>
      <c r="H1" s="41" t="s">
        <v>223</v>
      </c>
    </row>
    <row r="2" spans="1:8" x14ac:dyDescent="0.2">
      <c r="A2" t="s">
        <v>62</v>
      </c>
      <c r="B2" t="s">
        <v>61</v>
      </c>
      <c r="C2" t="s">
        <v>23</v>
      </c>
      <c r="D2" t="s">
        <v>201</v>
      </c>
      <c r="F2" s="42">
        <v>240000000</v>
      </c>
      <c r="G2">
        <f>20000000/8760</f>
        <v>2283.1050228310501</v>
      </c>
      <c r="H2" t="s">
        <v>222</v>
      </c>
    </row>
    <row r="3" spans="1:8" x14ac:dyDescent="0.2">
      <c r="A3" t="s">
        <v>204</v>
      </c>
      <c r="B3" t="s">
        <v>73</v>
      </c>
      <c r="C3" t="s">
        <v>56</v>
      </c>
      <c r="D3" t="s">
        <v>201</v>
      </c>
      <c r="F3" s="42">
        <v>550000000</v>
      </c>
      <c r="G3" s="44">
        <f>26000000/8760</f>
        <v>2968.0365296803652</v>
      </c>
    </row>
    <row r="4" spans="1:8" x14ac:dyDescent="0.2">
      <c r="A4" t="s">
        <v>93</v>
      </c>
      <c r="B4" t="s">
        <v>72</v>
      </c>
      <c r="C4" t="s">
        <v>209</v>
      </c>
      <c r="D4" t="s">
        <v>210</v>
      </c>
      <c r="E4" t="s">
        <v>211</v>
      </c>
      <c r="F4" s="42">
        <v>125000000</v>
      </c>
      <c r="G4" s="44">
        <f>4800000/8760</f>
        <v>547.94520547945206</v>
      </c>
    </row>
    <row r="5" spans="1:8" x14ac:dyDescent="0.2">
      <c r="A5" t="s">
        <v>205</v>
      </c>
      <c r="B5" t="s">
        <v>98</v>
      </c>
      <c r="C5" t="s">
        <v>54</v>
      </c>
      <c r="D5" t="s">
        <v>201</v>
      </c>
      <c r="F5" s="42">
        <v>300000000</v>
      </c>
      <c r="G5" s="44">
        <f>11000000/8760</f>
        <v>1255.7077625570776</v>
      </c>
    </row>
    <row r="6" spans="1:8" x14ac:dyDescent="0.2">
      <c r="A6" t="s">
        <v>216</v>
      </c>
      <c r="B6" t="s">
        <v>61</v>
      </c>
      <c r="C6" t="s">
        <v>32</v>
      </c>
      <c r="D6" t="s">
        <v>201</v>
      </c>
      <c r="F6" s="42">
        <v>1565000000</v>
      </c>
      <c r="G6">
        <f>70000000/8760</f>
        <v>7990.8675799086759</v>
      </c>
      <c r="H6" t="s">
        <v>222</v>
      </c>
    </row>
    <row r="7" spans="1:8" x14ac:dyDescent="0.2">
      <c r="A7" t="s">
        <v>218</v>
      </c>
      <c r="B7" t="s">
        <v>98</v>
      </c>
      <c r="C7" t="s">
        <v>219</v>
      </c>
      <c r="D7" t="s">
        <v>210</v>
      </c>
      <c r="E7" t="s">
        <v>213</v>
      </c>
      <c r="F7" s="42">
        <v>720000000</v>
      </c>
      <c r="G7" s="44">
        <f>30000000/8760</f>
        <v>3424.6575342465753</v>
      </c>
    </row>
    <row r="8" spans="1:8" x14ac:dyDescent="0.2">
      <c r="A8" t="s">
        <v>207</v>
      </c>
      <c r="B8" t="s">
        <v>61</v>
      </c>
      <c r="C8" t="s">
        <v>38</v>
      </c>
      <c r="D8" t="s">
        <v>201</v>
      </c>
      <c r="F8" s="42">
        <v>450000000</v>
      </c>
      <c r="G8">
        <f>31000000/8760</f>
        <v>3538.8127853881278</v>
      </c>
    </row>
    <row r="9" spans="1:8" x14ac:dyDescent="0.2">
      <c r="A9" t="s">
        <v>65</v>
      </c>
      <c r="B9" t="s">
        <v>61</v>
      </c>
      <c r="C9" t="s">
        <v>25</v>
      </c>
      <c r="D9" t="s">
        <v>201</v>
      </c>
      <c r="F9" s="42">
        <v>126000000</v>
      </c>
      <c r="G9">
        <f>6000000/8760</f>
        <v>684.93150684931504</v>
      </c>
    </row>
    <row r="10" spans="1:8" x14ac:dyDescent="0.2">
      <c r="A10" t="s">
        <v>206</v>
      </c>
      <c r="B10" t="s">
        <v>98</v>
      </c>
      <c r="C10" t="s">
        <v>51</v>
      </c>
      <c r="D10" t="s">
        <v>201</v>
      </c>
      <c r="F10" s="42">
        <v>121000000</v>
      </c>
      <c r="G10" s="44">
        <f>6700000/8760</f>
        <v>764.84018264840188</v>
      </c>
    </row>
    <row r="11" spans="1:8" x14ac:dyDescent="0.2">
      <c r="A11" t="s">
        <v>118</v>
      </c>
      <c r="B11" t="s">
        <v>73</v>
      </c>
      <c r="C11" t="s">
        <v>39</v>
      </c>
      <c r="D11" t="s">
        <v>201</v>
      </c>
      <c r="F11" s="42">
        <v>37000000</v>
      </c>
      <c r="G11" s="44">
        <f>2500000/8760</f>
        <v>285.38812785388126</v>
      </c>
    </row>
    <row r="12" spans="1:8" x14ac:dyDescent="0.2">
      <c r="A12" t="s">
        <v>220</v>
      </c>
      <c r="B12" t="s">
        <v>98</v>
      </c>
      <c r="C12" t="s">
        <v>212</v>
      </c>
      <c r="D12" t="s">
        <v>210</v>
      </c>
      <c r="E12" t="s">
        <v>214</v>
      </c>
      <c r="F12" s="42">
        <v>225000000</v>
      </c>
      <c r="G12" s="44">
        <f>9900000/8760</f>
        <v>1130.1369863013699</v>
      </c>
    </row>
    <row r="13" spans="1:8" x14ac:dyDescent="0.2">
      <c r="A13" t="s">
        <v>66</v>
      </c>
      <c r="B13" t="s">
        <v>61</v>
      </c>
      <c r="C13" t="s">
        <v>34</v>
      </c>
      <c r="D13" t="s">
        <v>201</v>
      </c>
      <c r="F13" s="42">
        <v>300000000</v>
      </c>
      <c r="G13">
        <f>15000000/8760</f>
        <v>1712.3287671232877</v>
      </c>
    </row>
    <row r="14" spans="1:8" x14ac:dyDescent="0.2">
      <c r="A14" t="s">
        <v>224</v>
      </c>
      <c r="B14" t="s">
        <v>98</v>
      </c>
      <c r="C14" t="s">
        <v>53</v>
      </c>
      <c r="D14" t="s">
        <v>201</v>
      </c>
      <c r="F14" s="42">
        <v>750000000</v>
      </c>
      <c r="G14" s="44">
        <f>10000000/8760</f>
        <v>1141.552511415525</v>
      </c>
    </row>
    <row r="15" spans="1:8" x14ac:dyDescent="0.2">
      <c r="A15" t="s">
        <v>68</v>
      </c>
      <c r="B15" t="s">
        <v>61</v>
      </c>
      <c r="C15" t="s">
        <v>24</v>
      </c>
      <c r="D15" t="s">
        <v>201</v>
      </c>
      <c r="F15" s="42">
        <v>500000000</v>
      </c>
      <c r="G15">
        <f>8000000/8760</f>
        <v>913.24200913242009</v>
      </c>
    </row>
    <row r="16" spans="1:8" x14ac:dyDescent="0.2">
      <c r="A16" t="s">
        <v>95</v>
      </c>
      <c r="B16" t="s">
        <v>72</v>
      </c>
      <c r="C16" t="s">
        <v>57</v>
      </c>
      <c r="D16" t="s">
        <v>201</v>
      </c>
      <c r="F16" s="42">
        <v>500000000</v>
      </c>
      <c r="G16" s="44">
        <f>8000000/8760</f>
        <v>913.24200913242009</v>
      </c>
    </row>
    <row r="17" spans="1:1" x14ac:dyDescent="0.2">
      <c r="A17" s="43" t="s">
        <v>215</v>
      </c>
    </row>
    <row r="18" spans="1:1" x14ac:dyDescent="0.2">
      <c r="A18" t="s">
        <v>217</v>
      </c>
    </row>
    <row r="19" spans="1:1" x14ac:dyDescent="0.2">
      <c r="A19" s="43" t="s">
        <v>221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1DB1-DF28-624C-8D94-A06AB0EA5647}">
  <sheetPr filterMode="1"/>
  <dimension ref="A1:Q48"/>
  <sheetViews>
    <sheetView zoomScale="94" workbookViewId="0">
      <pane xSplit="1" ySplit="1" topLeftCell="B9" activePane="bottomRight" state="frozen"/>
      <selection pane="topRight" activeCell="B1" sqref="B1"/>
      <selection pane="bottomLeft" activeCell="A2" sqref="A2"/>
      <selection pane="bottomRight" activeCell="A13" sqref="A13:XFD13"/>
    </sheetView>
  </sheetViews>
  <sheetFormatPr baseColWidth="10" defaultRowHeight="19" x14ac:dyDescent="0.25"/>
  <cols>
    <col min="1" max="1" width="29.6640625" style="15" customWidth="1"/>
    <col min="2" max="2" width="10.83203125" style="15" customWidth="1"/>
    <col min="3" max="3" width="10.83203125" style="15"/>
    <col min="4" max="4" width="13" style="15" customWidth="1"/>
    <col min="5" max="5" width="27.5" style="15" customWidth="1"/>
    <col min="6" max="6" width="27" style="9" customWidth="1"/>
    <col min="7" max="7" width="13.83203125" style="15" customWidth="1"/>
    <col min="8" max="8" width="22.6640625" style="15" customWidth="1"/>
    <col min="9" max="11" width="13.83203125" style="15" customWidth="1"/>
    <col min="12" max="12" width="32.1640625" style="16" customWidth="1"/>
    <col min="13" max="13" width="22.1640625" style="39" customWidth="1"/>
    <col min="14" max="14" width="30.83203125" style="15" customWidth="1"/>
    <col min="15" max="15" width="113.83203125" style="18" customWidth="1"/>
    <col min="16" max="16" width="51.5" style="15" customWidth="1"/>
    <col min="17" max="16384" width="10.83203125" style="15"/>
  </cols>
  <sheetData>
    <row r="1" spans="1:17" s="3" customFormat="1" ht="42" customHeight="1" x14ac:dyDescent="0.2">
      <c r="A1" s="2" t="s">
        <v>74</v>
      </c>
      <c r="B1" s="3" t="s">
        <v>29</v>
      </c>
      <c r="C1" s="2" t="s">
        <v>75</v>
      </c>
      <c r="D1" s="2" t="s">
        <v>76</v>
      </c>
      <c r="E1" s="2" t="s">
        <v>77</v>
      </c>
      <c r="F1" s="2" t="s">
        <v>78</v>
      </c>
      <c r="G1" s="2" t="s">
        <v>79</v>
      </c>
      <c r="H1" s="2" t="s">
        <v>80</v>
      </c>
      <c r="I1" s="2" t="s">
        <v>81</v>
      </c>
      <c r="J1" s="2" t="s">
        <v>82</v>
      </c>
      <c r="K1" s="2" t="s">
        <v>83</v>
      </c>
      <c r="L1" s="4" t="s">
        <v>84</v>
      </c>
      <c r="M1" s="4" t="s">
        <v>85</v>
      </c>
      <c r="N1" s="2" t="s">
        <v>86</v>
      </c>
      <c r="O1" s="2" t="s">
        <v>87</v>
      </c>
      <c r="P1" s="5" t="s">
        <v>88</v>
      </c>
    </row>
    <row r="2" spans="1:17" hidden="1" x14ac:dyDescent="0.25">
      <c r="A2" s="6" t="s">
        <v>62</v>
      </c>
      <c r="B2" s="7" t="s">
        <v>61</v>
      </c>
      <c r="C2" s="8">
        <v>57.980400000000003</v>
      </c>
      <c r="D2" s="8">
        <v>-0.46060000000000001</v>
      </c>
      <c r="E2" s="8">
        <v>240</v>
      </c>
      <c r="F2" s="9">
        <v>5000000</v>
      </c>
      <c r="G2" s="8">
        <v>2030</v>
      </c>
      <c r="H2" s="9"/>
      <c r="I2" s="8"/>
      <c r="J2" s="9"/>
      <c r="K2" s="8"/>
      <c r="L2" s="10">
        <v>20000000</v>
      </c>
      <c r="M2" s="11">
        <v>2035</v>
      </c>
      <c r="N2" s="12" t="s">
        <v>89</v>
      </c>
      <c r="O2" s="13"/>
      <c r="P2" s="14" t="s">
        <v>90</v>
      </c>
    </row>
    <row r="3" spans="1:17" hidden="1" x14ac:dyDescent="0.25">
      <c r="A3" s="6" t="s">
        <v>91</v>
      </c>
      <c r="B3" s="12" t="s">
        <v>73</v>
      </c>
      <c r="C3" s="8">
        <v>53.489440000000002</v>
      </c>
      <c r="D3" s="8">
        <v>4.9028</v>
      </c>
      <c r="E3" s="8">
        <v>400</v>
      </c>
      <c r="F3" s="9">
        <v>5000000</v>
      </c>
      <c r="G3" s="8">
        <v>2027</v>
      </c>
      <c r="H3" s="9"/>
      <c r="I3" s="8"/>
      <c r="J3" s="9"/>
      <c r="K3" s="8"/>
      <c r="L3" s="10">
        <v>17000000</v>
      </c>
      <c r="M3" s="11">
        <v>2032</v>
      </c>
      <c r="N3" s="12" t="s">
        <v>89</v>
      </c>
      <c r="O3" s="13"/>
      <c r="P3" s="14" t="s">
        <v>92</v>
      </c>
    </row>
    <row r="4" spans="1:17" hidden="1" x14ac:dyDescent="0.25">
      <c r="A4" s="6" t="s">
        <v>93</v>
      </c>
      <c r="B4" s="7" t="s">
        <v>72</v>
      </c>
      <c r="C4" s="8">
        <v>56.345238000000002</v>
      </c>
      <c r="D4" s="8">
        <v>4.2720219000000004</v>
      </c>
      <c r="E4" s="8">
        <v>125</v>
      </c>
      <c r="F4" s="9">
        <v>2500000</v>
      </c>
      <c r="G4" s="8">
        <v>2029</v>
      </c>
      <c r="H4" s="9"/>
      <c r="I4" s="8"/>
      <c r="J4" s="9"/>
      <c r="K4" s="8"/>
      <c r="L4" s="10">
        <v>4800000</v>
      </c>
      <c r="M4" s="11">
        <v>2030</v>
      </c>
      <c r="N4" s="12" t="s">
        <v>89</v>
      </c>
      <c r="O4" s="13"/>
      <c r="P4" s="14" t="s">
        <v>94</v>
      </c>
    </row>
    <row r="5" spans="1:17" ht="20" hidden="1" x14ac:dyDescent="0.25">
      <c r="A5" s="15" t="s">
        <v>147</v>
      </c>
      <c r="B5" s="15" t="s">
        <v>148</v>
      </c>
      <c r="C5" s="15">
        <v>45.708151000000001</v>
      </c>
      <c r="D5" s="15">
        <v>18.123899000000002</v>
      </c>
      <c r="E5" s="15">
        <v>450</v>
      </c>
      <c r="F5" s="9">
        <v>1000000</v>
      </c>
      <c r="G5" s="15">
        <v>2029</v>
      </c>
      <c r="L5" s="16">
        <v>2000000</v>
      </c>
      <c r="M5" s="17">
        <v>2034</v>
      </c>
      <c r="N5" s="15" t="s">
        <v>99</v>
      </c>
      <c r="O5" s="18" t="s">
        <v>149</v>
      </c>
    </row>
    <row r="6" spans="1:17" hidden="1" x14ac:dyDescent="0.25">
      <c r="A6" s="7" t="s">
        <v>150</v>
      </c>
      <c r="B6" s="12" t="s">
        <v>151</v>
      </c>
      <c r="C6" s="8">
        <v>64.015029999999996</v>
      </c>
      <c r="D6" s="8">
        <v>-22.12969</v>
      </c>
      <c r="E6" s="8">
        <v>64</v>
      </c>
      <c r="F6" s="9">
        <v>500000</v>
      </c>
      <c r="G6" s="8">
        <v>2026</v>
      </c>
      <c r="H6" s="9">
        <v>1000000</v>
      </c>
      <c r="I6" s="8">
        <v>2028</v>
      </c>
      <c r="J6" s="9"/>
      <c r="K6" s="8"/>
      <c r="L6" s="10">
        <v>3000000</v>
      </c>
      <c r="M6" s="11">
        <v>2031</v>
      </c>
      <c r="N6" s="12" t="s">
        <v>152</v>
      </c>
      <c r="O6" s="13"/>
      <c r="P6" s="19" t="s">
        <v>153</v>
      </c>
    </row>
    <row r="7" spans="1:17" ht="40" hidden="1" x14ac:dyDescent="0.25">
      <c r="A7" s="15" t="s">
        <v>154</v>
      </c>
      <c r="B7" s="15" t="s">
        <v>155</v>
      </c>
      <c r="C7" s="15">
        <v>43.195050000000002</v>
      </c>
      <c r="D7" s="15">
        <v>27.913789999999999</v>
      </c>
      <c r="E7" s="15">
        <v>30</v>
      </c>
      <c r="F7" s="9">
        <v>800000</v>
      </c>
      <c r="G7" s="15">
        <v>2028</v>
      </c>
      <c r="L7" s="16">
        <v>1500000</v>
      </c>
      <c r="M7" s="17">
        <v>2032</v>
      </c>
      <c r="N7" s="15" t="s">
        <v>89</v>
      </c>
      <c r="O7" s="18" t="s">
        <v>156</v>
      </c>
      <c r="P7" s="20" t="s">
        <v>157</v>
      </c>
      <c r="Q7" s="21"/>
    </row>
    <row r="8" spans="1:17" hidden="1" x14ac:dyDescent="0.25">
      <c r="A8" s="6" t="s">
        <v>95</v>
      </c>
      <c r="B8" s="12" t="s">
        <v>72</v>
      </c>
      <c r="C8" s="8">
        <v>56.688519999999997</v>
      </c>
      <c r="D8" s="8">
        <v>5.3211240000000002</v>
      </c>
      <c r="E8" s="8">
        <v>500</v>
      </c>
      <c r="F8" s="9">
        <v>1500000</v>
      </c>
      <c r="G8" s="8">
        <v>2025</v>
      </c>
      <c r="H8" s="9"/>
      <c r="I8" s="8"/>
      <c r="J8" s="9"/>
      <c r="K8" s="8"/>
      <c r="L8" s="10">
        <v>8000000</v>
      </c>
      <c r="M8" s="11">
        <v>2026</v>
      </c>
      <c r="N8" s="12" t="s">
        <v>89</v>
      </c>
      <c r="O8" s="13"/>
      <c r="P8" s="14" t="s">
        <v>96</v>
      </c>
    </row>
    <row r="9" spans="1:17" x14ac:dyDescent="0.25">
      <c r="A9" s="6" t="s">
        <v>97</v>
      </c>
      <c r="B9" s="12" t="s">
        <v>98</v>
      </c>
      <c r="C9" s="8">
        <v>57.794153847620699</v>
      </c>
      <c r="D9" s="8">
        <v>4.6362771191627896</v>
      </c>
      <c r="E9" s="8">
        <v>200</v>
      </c>
      <c r="F9" s="9">
        <v>2100000</v>
      </c>
      <c r="G9" s="8">
        <v>2027</v>
      </c>
      <c r="H9" s="9"/>
      <c r="I9" s="8"/>
      <c r="J9" s="9"/>
      <c r="K9" s="8"/>
      <c r="L9" s="10">
        <v>7000000</v>
      </c>
      <c r="M9" s="11">
        <v>2032</v>
      </c>
      <c r="N9" s="12" t="s">
        <v>99</v>
      </c>
      <c r="O9" s="13"/>
      <c r="P9" s="14" t="s">
        <v>100</v>
      </c>
    </row>
    <row r="10" spans="1:17" hidden="1" x14ac:dyDescent="0.25">
      <c r="A10" s="6" t="s">
        <v>63</v>
      </c>
      <c r="B10" s="7" t="s">
        <v>61</v>
      </c>
      <c r="C10" s="8">
        <v>53.017499999999998</v>
      </c>
      <c r="D10" s="8">
        <v>1.7952779999999999</v>
      </c>
      <c r="E10" s="8">
        <v>300</v>
      </c>
      <c r="F10" s="9">
        <v>6000000</v>
      </c>
      <c r="G10" s="8">
        <v>2027</v>
      </c>
      <c r="H10" s="9"/>
      <c r="I10" s="8"/>
      <c r="J10" s="9"/>
      <c r="K10" s="8"/>
      <c r="L10" s="10">
        <v>20000000</v>
      </c>
      <c r="M10" s="11">
        <v>2030</v>
      </c>
      <c r="N10" s="12" t="s">
        <v>89</v>
      </c>
      <c r="O10" s="13"/>
      <c r="P10" s="14" t="s">
        <v>101</v>
      </c>
    </row>
    <row r="11" spans="1:17" s="30" customFormat="1" ht="20" hidden="1" x14ac:dyDescent="0.25">
      <c r="A11" s="22" t="s">
        <v>158</v>
      </c>
      <c r="B11" s="22" t="s">
        <v>159</v>
      </c>
      <c r="C11" s="23">
        <v>53.457096712212802</v>
      </c>
      <c r="D11" s="23">
        <v>-3.0293763037638999</v>
      </c>
      <c r="E11" s="23">
        <v>130</v>
      </c>
      <c r="F11" s="24">
        <v>4500000</v>
      </c>
      <c r="G11" s="23">
        <v>2025</v>
      </c>
      <c r="H11" s="24"/>
      <c r="I11" s="23"/>
      <c r="J11" s="24"/>
      <c r="K11" s="23"/>
      <c r="L11" s="25">
        <v>10000000</v>
      </c>
      <c r="M11" s="26">
        <v>2030</v>
      </c>
      <c r="N11" s="27" t="s">
        <v>89</v>
      </c>
      <c r="O11" s="28" t="s">
        <v>160</v>
      </c>
      <c r="P11" s="29"/>
    </row>
    <row r="12" spans="1:17" hidden="1" x14ac:dyDescent="0.25">
      <c r="A12" s="6" t="s">
        <v>102</v>
      </c>
      <c r="B12" s="12" t="s">
        <v>73</v>
      </c>
      <c r="C12" s="8">
        <v>53.403888999999999</v>
      </c>
      <c r="D12" s="8">
        <v>4.2019440000000001</v>
      </c>
      <c r="E12" s="8">
        <v>150</v>
      </c>
      <c r="F12" s="9">
        <v>4000000</v>
      </c>
      <c r="G12" s="8">
        <v>2026</v>
      </c>
      <c r="H12" s="9"/>
      <c r="I12" s="8"/>
      <c r="J12" s="9"/>
      <c r="K12" s="8"/>
      <c r="L12" s="10">
        <v>9000000</v>
      </c>
      <c r="M12" s="11">
        <v>2031</v>
      </c>
      <c r="N12" s="12" t="s">
        <v>89</v>
      </c>
      <c r="O12" s="13"/>
      <c r="P12" s="19" t="s">
        <v>103</v>
      </c>
    </row>
    <row r="13" spans="1:17" ht="20" x14ac:dyDescent="0.25">
      <c r="A13" s="31" t="s">
        <v>104</v>
      </c>
      <c r="B13" s="12" t="s">
        <v>98</v>
      </c>
      <c r="C13" s="8">
        <v>60.458351</v>
      </c>
      <c r="D13" s="8">
        <v>3.1628219999999998</v>
      </c>
      <c r="E13" s="8">
        <v>120</v>
      </c>
      <c r="F13" s="9">
        <v>1500000</v>
      </c>
      <c r="G13" s="8">
        <v>2028</v>
      </c>
      <c r="H13" s="9"/>
      <c r="I13" s="8"/>
      <c r="J13" s="9"/>
      <c r="K13" s="8"/>
      <c r="L13" s="10">
        <v>5000000</v>
      </c>
      <c r="M13" s="11">
        <v>2033</v>
      </c>
      <c r="N13" s="12" t="s">
        <v>99</v>
      </c>
      <c r="O13" s="13" t="s">
        <v>105</v>
      </c>
      <c r="P13" s="14" t="s">
        <v>106</v>
      </c>
    </row>
    <row r="14" spans="1:17" ht="20" hidden="1" x14ac:dyDescent="0.25">
      <c r="A14" s="6" t="s">
        <v>107</v>
      </c>
      <c r="B14" s="7" t="s">
        <v>72</v>
      </c>
      <c r="C14" s="8">
        <v>56.520810267235703</v>
      </c>
      <c r="D14" s="8">
        <v>9.9980418811060208</v>
      </c>
      <c r="E14" s="8">
        <v>630</v>
      </c>
      <c r="F14" s="9">
        <v>2300000</v>
      </c>
      <c r="G14" s="8">
        <v>2027</v>
      </c>
      <c r="H14" s="9"/>
      <c r="I14" s="8"/>
      <c r="J14" s="9"/>
      <c r="K14" s="8"/>
      <c r="L14" s="10">
        <v>15000000</v>
      </c>
      <c r="M14" s="11">
        <v>2030</v>
      </c>
      <c r="N14" s="12" t="s">
        <v>99</v>
      </c>
      <c r="O14" s="13" t="s">
        <v>108</v>
      </c>
      <c r="P14" s="21" t="s">
        <v>109</v>
      </c>
    </row>
    <row r="15" spans="1:17" hidden="1" x14ac:dyDescent="0.25">
      <c r="A15" s="6" t="s">
        <v>64</v>
      </c>
      <c r="B15" s="12" t="s">
        <v>61</v>
      </c>
      <c r="C15" s="8">
        <v>54.254779999999997</v>
      </c>
      <c r="D15" s="8">
        <v>0.94047000000000003</v>
      </c>
      <c r="E15" s="8">
        <v>450</v>
      </c>
      <c r="F15" s="9">
        <v>4000000</v>
      </c>
      <c r="G15" s="8">
        <v>2027</v>
      </c>
      <c r="H15" s="9">
        <v>10000000</v>
      </c>
      <c r="I15" s="8">
        <v>2030</v>
      </c>
      <c r="J15" s="9">
        <v>16000000</v>
      </c>
      <c r="K15" s="8">
        <v>2034</v>
      </c>
      <c r="L15" s="10">
        <v>27000000</v>
      </c>
      <c r="M15" s="11">
        <v>2039</v>
      </c>
      <c r="N15" s="12" t="s">
        <v>99</v>
      </c>
      <c r="O15" s="13"/>
      <c r="P15" s="21" t="s">
        <v>110</v>
      </c>
    </row>
    <row r="16" spans="1:17" ht="60" x14ac:dyDescent="0.25">
      <c r="A16" s="31" t="s">
        <v>111</v>
      </c>
      <c r="B16" s="12" t="s">
        <v>98</v>
      </c>
      <c r="C16" s="8">
        <v>60.540170000000003</v>
      </c>
      <c r="D16" s="8">
        <v>4.8883299999999998</v>
      </c>
      <c r="E16" s="8">
        <v>100</v>
      </c>
      <c r="F16" s="9">
        <v>1500000</v>
      </c>
      <c r="G16" s="8">
        <v>2025</v>
      </c>
      <c r="H16" s="9"/>
      <c r="I16" s="8"/>
      <c r="J16" s="9"/>
      <c r="K16" s="8"/>
      <c r="L16" s="10">
        <v>5000000</v>
      </c>
      <c r="M16" s="11">
        <v>2028</v>
      </c>
      <c r="N16" s="12" t="s">
        <v>99</v>
      </c>
      <c r="O16" s="13" t="s">
        <v>112</v>
      </c>
      <c r="P16" s="14" t="s">
        <v>113</v>
      </c>
    </row>
    <row r="17" spans="1:17" hidden="1" x14ac:dyDescent="0.25">
      <c r="A17" s="6" t="s">
        <v>65</v>
      </c>
      <c r="B17" s="7" t="s">
        <v>61</v>
      </c>
      <c r="C17" s="8">
        <v>53.633000000000003</v>
      </c>
      <c r="D17" s="8">
        <v>0.61699999999999999</v>
      </c>
      <c r="E17" s="8">
        <v>126</v>
      </c>
      <c r="F17" s="9">
        <v>1000000</v>
      </c>
      <c r="G17" s="8">
        <v>2031</v>
      </c>
      <c r="H17" s="9"/>
      <c r="I17" s="8"/>
      <c r="J17" s="9"/>
      <c r="K17" s="8"/>
      <c r="L17" s="10">
        <v>6000000</v>
      </c>
      <c r="M17" s="11">
        <v>2035</v>
      </c>
      <c r="N17" s="12" t="s">
        <v>89</v>
      </c>
      <c r="O17" s="13"/>
      <c r="P17" s="32" t="s">
        <v>114</v>
      </c>
      <c r="Q17" s="21"/>
    </row>
    <row r="18" spans="1:17" ht="20" x14ac:dyDescent="0.25">
      <c r="A18" s="7" t="s">
        <v>115</v>
      </c>
      <c r="B18" s="12" t="s">
        <v>98</v>
      </c>
      <c r="C18" s="33">
        <v>71.816666999999995</v>
      </c>
      <c r="D18" s="34">
        <v>24.933333000000001</v>
      </c>
      <c r="E18" s="34">
        <v>100</v>
      </c>
      <c r="F18" s="35">
        <v>4000000</v>
      </c>
      <c r="G18" s="34">
        <v>2029</v>
      </c>
      <c r="H18" s="9"/>
      <c r="I18" s="34"/>
      <c r="J18" s="35"/>
      <c r="K18" s="34"/>
      <c r="L18" s="10">
        <v>6000000</v>
      </c>
      <c r="M18" s="11">
        <v>2034</v>
      </c>
      <c r="N18" s="12" t="s">
        <v>99</v>
      </c>
      <c r="O18" s="13" t="s">
        <v>116</v>
      </c>
      <c r="P18" s="14" t="s">
        <v>117</v>
      </c>
    </row>
    <row r="19" spans="1:17" ht="20" hidden="1" x14ac:dyDescent="0.25">
      <c r="A19" s="6" t="s">
        <v>118</v>
      </c>
      <c r="B19" s="12" t="s">
        <v>73</v>
      </c>
      <c r="C19" s="33">
        <v>52.107006646894497</v>
      </c>
      <c r="D19" s="34">
        <v>3.9128185143014398</v>
      </c>
      <c r="E19" s="34">
        <v>37</v>
      </c>
      <c r="F19" s="35">
        <v>2500000</v>
      </c>
      <c r="G19" s="34">
        <v>2026</v>
      </c>
      <c r="H19" s="9"/>
      <c r="I19" s="34"/>
      <c r="J19" s="35"/>
      <c r="K19" s="34"/>
      <c r="L19" s="10">
        <v>2500000</v>
      </c>
      <c r="M19" s="11">
        <v>2031</v>
      </c>
      <c r="N19" s="12" t="s">
        <v>89</v>
      </c>
      <c r="O19" s="13" t="s">
        <v>119</v>
      </c>
      <c r="P19" s="19" t="s">
        <v>120</v>
      </c>
    </row>
    <row r="20" spans="1:17" ht="40" x14ac:dyDescent="0.25">
      <c r="A20" s="6" t="s">
        <v>67</v>
      </c>
      <c r="B20" s="12" t="s">
        <v>98</v>
      </c>
      <c r="C20" s="8">
        <v>57.716040866979299</v>
      </c>
      <c r="D20" s="8">
        <v>4.9638141536219296</v>
      </c>
      <c r="E20" s="8">
        <v>100</v>
      </c>
      <c r="F20" s="9">
        <v>1500000</v>
      </c>
      <c r="G20" s="8">
        <v>2029</v>
      </c>
      <c r="H20" s="10"/>
      <c r="I20" s="11"/>
      <c r="J20" s="10"/>
      <c r="K20" s="11"/>
      <c r="L20" s="16">
        <v>5000000</v>
      </c>
      <c r="M20" s="15">
        <v>2034</v>
      </c>
      <c r="N20" s="12" t="s">
        <v>99</v>
      </c>
      <c r="O20" s="13" t="s">
        <v>121</v>
      </c>
      <c r="P20" s="14" t="s">
        <v>122</v>
      </c>
    </row>
    <row r="21" spans="1:17" ht="20" hidden="1" x14ac:dyDescent="0.25">
      <c r="A21" s="15" t="s">
        <v>161</v>
      </c>
      <c r="B21" s="15" t="s">
        <v>162</v>
      </c>
      <c r="C21" s="15">
        <v>40.933995000000003</v>
      </c>
      <c r="D21" s="15">
        <v>24.411525999999999</v>
      </c>
      <c r="E21" s="15">
        <v>100</v>
      </c>
      <c r="F21" s="16">
        <v>1000000</v>
      </c>
      <c r="G21" s="15">
        <v>2026</v>
      </c>
      <c r="H21" s="16"/>
      <c r="L21" s="16">
        <v>3000000</v>
      </c>
      <c r="M21" s="17">
        <v>2028</v>
      </c>
      <c r="N21" s="15" t="s">
        <v>89</v>
      </c>
      <c r="O21" s="18" t="s">
        <v>163</v>
      </c>
      <c r="P21" s="20" t="s">
        <v>164</v>
      </c>
    </row>
    <row r="22" spans="1:17" ht="20" hidden="1" x14ac:dyDescent="0.25">
      <c r="A22" s="15" t="s">
        <v>165</v>
      </c>
      <c r="B22" s="15" t="s">
        <v>166</v>
      </c>
      <c r="C22" s="15">
        <v>43.408617</v>
      </c>
      <c r="D22" s="15">
        <v>-0.636992</v>
      </c>
      <c r="E22" s="15">
        <v>435</v>
      </c>
      <c r="F22" s="9">
        <v>2000000</v>
      </c>
      <c r="G22" s="15">
        <v>2030</v>
      </c>
      <c r="L22" s="16">
        <v>5000000</v>
      </c>
      <c r="M22" s="17">
        <v>2035</v>
      </c>
      <c r="N22" s="15" t="s">
        <v>89</v>
      </c>
      <c r="O22" s="18" t="s">
        <v>167</v>
      </c>
      <c r="P22" s="36" t="s">
        <v>168</v>
      </c>
    </row>
    <row r="23" spans="1:17" hidden="1" x14ac:dyDescent="0.25">
      <c r="A23" s="7" t="s">
        <v>169</v>
      </c>
      <c r="B23" s="12" t="s">
        <v>170</v>
      </c>
      <c r="C23" s="8">
        <v>44.599559999999997</v>
      </c>
      <c r="D23" s="8">
        <v>12.682180000000001</v>
      </c>
      <c r="E23" s="8">
        <v>500</v>
      </c>
      <c r="F23" s="10">
        <v>4000000</v>
      </c>
      <c r="G23" s="8">
        <v>2026</v>
      </c>
      <c r="H23" s="9"/>
      <c r="I23" s="8"/>
      <c r="J23" s="9"/>
      <c r="K23" s="8"/>
      <c r="L23" s="10">
        <v>16000000</v>
      </c>
      <c r="M23" s="11">
        <v>2030</v>
      </c>
      <c r="N23" s="12" t="s">
        <v>89</v>
      </c>
      <c r="O23" s="13"/>
      <c r="P23" s="19" t="s">
        <v>171</v>
      </c>
    </row>
    <row r="24" spans="1:17" s="30" customFormat="1" ht="20" hidden="1" x14ac:dyDescent="0.25">
      <c r="A24" s="22" t="s">
        <v>172</v>
      </c>
      <c r="B24" s="22" t="s">
        <v>173</v>
      </c>
      <c r="C24" s="23">
        <v>54.637608063512303</v>
      </c>
      <c r="D24" s="23">
        <v>11.4591273303745</v>
      </c>
      <c r="E24" s="23">
        <v>152</v>
      </c>
      <c r="F24" s="24">
        <v>1000000</v>
      </c>
      <c r="G24" s="23">
        <v>2027</v>
      </c>
      <c r="H24" s="24"/>
      <c r="I24" s="23"/>
      <c r="J24" s="24"/>
      <c r="K24" s="23"/>
      <c r="L24" s="25">
        <v>7500000</v>
      </c>
      <c r="M24" s="26">
        <v>2030</v>
      </c>
      <c r="N24" s="27" t="s">
        <v>99</v>
      </c>
      <c r="O24" s="28" t="s">
        <v>174</v>
      </c>
      <c r="P24" s="29" t="s">
        <v>175</v>
      </c>
    </row>
    <row r="25" spans="1:17" x14ac:dyDescent="0.25">
      <c r="A25" s="31" t="s">
        <v>123</v>
      </c>
      <c r="B25" s="12" t="s">
        <v>98</v>
      </c>
      <c r="C25" s="8">
        <v>60.652963</v>
      </c>
      <c r="D25" s="8">
        <v>4.0779509999999997</v>
      </c>
      <c r="E25" s="8">
        <v>500</v>
      </c>
      <c r="F25" s="9">
        <v>5000000</v>
      </c>
      <c r="G25" s="8">
        <v>2028</v>
      </c>
      <c r="H25" s="9"/>
      <c r="I25" s="8"/>
      <c r="J25" s="9"/>
      <c r="K25" s="8"/>
      <c r="L25" s="10">
        <v>20000000</v>
      </c>
      <c r="M25" s="11">
        <v>2033</v>
      </c>
      <c r="N25" s="12" t="s">
        <v>99</v>
      </c>
      <c r="O25" s="13"/>
      <c r="P25" s="14" t="s">
        <v>124</v>
      </c>
    </row>
    <row r="26" spans="1:17" s="30" customFormat="1" ht="20" hidden="1" x14ac:dyDescent="0.25">
      <c r="A26" s="22" t="s">
        <v>176</v>
      </c>
      <c r="B26" s="22" t="s">
        <v>159</v>
      </c>
      <c r="C26" s="23">
        <v>53.846666999999997</v>
      </c>
      <c r="D26" s="23">
        <v>-3.5808330000000002</v>
      </c>
      <c r="E26" s="23">
        <v>1000</v>
      </c>
      <c r="F26" s="24">
        <v>5000000</v>
      </c>
      <c r="G26" s="23">
        <v>2031</v>
      </c>
      <c r="H26" s="24"/>
      <c r="I26" s="23"/>
      <c r="J26" s="24"/>
      <c r="K26" s="23"/>
      <c r="L26" s="25">
        <v>25000000</v>
      </c>
      <c r="M26" s="26">
        <v>2036</v>
      </c>
      <c r="N26" s="27" t="s">
        <v>89</v>
      </c>
      <c r="O26" s="28" t="s">
        <v>177</v>
      </c>
      <c r="P26" s="29" t="s">
        <v>178</v>
      </c>
    </row>
    <row r="27" spans="1:17" ht="20" hidden="1" x14ac:dyDescent="0.25">
      <c r="A27" s="7" t="s">
        <v>179</v>
      </c>
      <c r="B27" s="7" t="s">
        <v>173</v>
      </c>
      <c r="C27" s="8">
        <v>55.548791999999999</v>
      </c>
      <c r="D27" s="8">
        <v>11.623844999999999</v>
      </c>
      <c r="E27" s="8">
        <v>10</v>
      </c>
      <c r="F27" s="9">
        <v>500000</v>
      </c>
      <c r="G27" s="8">
        <v>2026</v>
      </c>
      <c r="H27" s="9"/>
      <c r="I27" s="8"/>
      <c r="J27" s="9"/>
      <c r="K27" s="8"/>
      <c r="L27" s="10">
        <v>500000</v>
      </c>
      <c r="M27" s="11">
        <v>2031</v>
      </c>
      <c r="N27" s="12" t="s">
        <v>99</v>
      </c>
      <c r="O27" s="13" t="s">
        <v>180</v>
      </c>
      <c r="P27" s="19"/>
    </row>
    <row r="28" spans="1:17" x14ac:dyDescent="0.25">
      <c r="A28" s="6" t="s">
        <v>125</v>
      </c>
      <c r="B28" s="12" t="s">
        <v>98</v>
      </c>
      <c r="C28" s="8">
        <v>58.35</v>
      </c>
      <c r="D28" s="8">
        <v>1.9</v>
      </c>
      <c r="E28" s="8">
        <v>225</v>
      </c>
      <c r="F28" s="9">
        <v>2700000</v>
      </c>
      <c r="G28" s="8">
        <v>2029</v>
      </c>
      <c r="H28" s="9"/>
      <c r="I28" s="8"/>
      <c r="J28" s="9"/>
      <c r="K28" s="8"/>
      <c r="L28" s="10">
        <v>9000000</v>
      </c>
      <c r="M28" s="11">
        <v>2034</v>
      </c>
      <c r="N28" s="12" t="s">
        <v>99</v>
      </c>
      <c r="O28" s="13"/>
      <c r="P28" s="14" t="s">
        <v>126</v>
      </c>
    </row>
    <row r="29" spans="1:17" hidden="1" x14ac:dyDescent="0.25">
      <c r="A29" s="6" t="s">
        <v>66</v>
      </c>
      <c r="B29" s="7" t="s">
        <v>61</v>
      </c>
      <c r="C29" s="8">
        <v>53.448056000000001</v>
      </c>
      <c r="D29" s="8">
        <v>2.333056</v>
      </c>
      <c r="E29" s="8">
        <v>300</v>
      </c>
      <c r="F29" s="9">
        <v>4500000</v>
      </c>
      <c r="G29" s="8">
        <v>2027</v>
      </c>
      <c r="H29" s="10">
        <v>10000000</v>
      </c>
      <c r="I29" s="11">
        <v>2030</v>
      </c>
      <c r="J29" s="9"/>
      <c r="K29" s="8"/>
      <c r="L29" s="16">
        <v>15000000</v>
      </c>
      <c r="M29" s="17">
        <v>2035</v>
      </c>
      <c r="N29" s="12" t="s">
        <v>89</v>
      </c>
      <c r="O29" s="13"/>
      <c r="P29" s="14" t="s">
        <v>127</v>
      </c>
    </row>
    <row r="30" spans="1:17" hidden="1" x14ac:dyDescent="0.25">
      <c r="A30" s="37" t="s">
        <v>67</v>
      </c>
      <c r="B30" s="15" t="s">
        <v>61</v>
      </c>
      <c r="C30" s="15">
        <v>52.868702771896103</v>
      </c>
      <c r="D30" s="15">
        <v>1.4543857673252001</v>
      </c>
      <c r="E30" s="15">
        <v>935</v>
      </c>
      <c r="F30" s="9">
        <v>1500000</v>
      </c>
      <c r="G30" s="15">
        <v>2029</v>
      </c>
      <c r="H30" s="15">
        <v>10000000</v>
      </c>
      <c r="I30" s="15">
        <v>2030</v>
      </c>
      <c r="L30" s="16">
        <v>40000000</v>
      </c>
      <c r="M30" s="17">
        <v>2040</v>
      </c>
      <c r="N30" s="15" t="s">
        <v>99</v>
      </c>
      <c r="P30" s="21" t="s">
        <v>128</v>
      </c>
    </row>
    <row r="31" spans="1:17" ht="20" x14ac:dyDescent="0.25">
      <c r="A31" s="37" t="s">
        <v>129</v>
      </c>
      <c r="B31" s="15" t="s">
        <v>98</v>
      </c>
      <c r="C31" s="15">
        <v>58.823372999999997</v>
      </c>
      <c r="D31" s="15">
        <v>4.7235290000000001</v>
      </c>
      <c r="L31" s="16">
        <v>5000000</v>
      </c>
      <c r="M31" s="38"/>
      <c r="N31" s="15" t="s">
        <v>99</v>
      </c>
      <c r="O31" s="18" t="s">
        <v>130</v>
      </c>
      <c r="P31" s="21" t="s">
        <v>131</v>
      </c>
    </row>
    <row r="32" spans="1:17" ht="20" x14ac:dyDescent="0.25">
      <c r="A32" s="37" t="s">
        <v>132</v>
      </c>
      <c r="B32" s="15" t="s">
        <v>98</v>
      </c>
      <c r="C32" s="15">
        <v>60.056438</v>
      </c>
      <c r="D32" s="15">
        <v>4.7008609999999997</v>
      </c>
      <c r="L32" s="16">
        <v>5000000</v>
      </c>
      <c r="M32" s="17"/>
      <c r="N32" s="15" t="s">
        <v>99</v>
      </c>
      <c r="O32" s="18" t="s">
        <v>130</v>
      </c>
      <c r="P32" s="21" t="s">
        <v>133</v>
      </c>
    </row>
    <row r="33" spans="1:16" ht="20" x14ac:dyDescent="0.25">
      <c r="A33" s="37" t="s">
        <v>134</v>
      </c>
      <c r="B33" s="15" t="s">
        <v>98</v>
      </c>
      <c r="C33" s="15">
        <v>59.408053899999999</v>
      </c>
      <c r="D33" s="15">
        <v>5.2844237999999999</v>
      </c>
      <c r="E33" s="15">
        <v>215</v>
      </c>
      <c r="L33" s="16">
        <v>7500000</v>
      </c>
      <c r="M33" s="17"/>
      <c r="N33" s="15" t="s">
        <v>99</v>
      </c>
      <c r="O33" s="18" t="s">
        <v>130</v>
      </c>
      <c r="P33" s="21" t="s">
        <v>135</v>
      </c>
    </row>
    <row r="34" spans="1:16" ht="20" x14ac:dyDescent="0.25">
      <c r="A34" s="37" t="s">
        <v>136</v>
      </c>
      <c r="B34" s="15" t="s">
        <v>98</v>
      </c>
      <c r="C34" s="15">
        <v>58.36</v>
      </c>
      <c r="D34" s="15">
        <v>1.91</v>
      </c>
      <c r="L34" s="16">
        <v>900000</v>
      </c>
      <c r="M34" s="17">
        <v>1996</v>
      </c>
      <c r="N34" s="15" t="s">
        <v>99</v>
      </c>
      <c r="O34" s="18" t="s">
        <v>137</v>
      </c>
      <c r="P34" s="15" t="s">
        <v>138</v>
      </c>
    </row>
    <row r="35" spans="1:16" ht="20" x14ac:dyDescent="0.25">
      <c r="A35" s="37" t="s">
        <v>139</v>
      </c>
      <c r="B35" s="15" t="s">
        <v>98</v>
      </c>
      <c r="C35" s="15">
        <v>71.599999999999994</v>
      </c>
      <c r="D35" s="15">
        <v>21</v>
      </c>
      <c r="L35" s="16">
        <v>700000</v>
      </c>
      <c r="M35" s="17">
        <v>2008</v>
      </c>
      <c r="N35" s="15" t="s">
        <v>99</v>
      </c>
      <c r="O35" s="18" t="s">
        <v>140</v>
      </c>
      <c r="P35" s="20" t="s">
        <v>141</v>
      </c>
    </row>
    <row r="36" spans="1:16" x14ac:dyDescent="0.25">
      <c r="A36" s="37" t="s">
        <v>142</v>
      </c>
      <c r="B36" s="15" t="s">
        <v>98</v>
      </c>
      <c r="C36" s="15">
        <v>59.5</v>
      </c>
      <c r="D36" s="15">
        <v>2.2999999999999998</v>
      </c>
      <c r="L36" s="16">
        <v>6000000</v>
      </c>
      <c r="M36" s="17">
        <v>2030</v>
      </c>
      <c r="N36" s="15" t="s">
        <v>89</v>
      </c>
      <c r="P36" s="15" t="s">
        <v>143</v>
      </c>
    </row>
    <row r="37" spans="1:16" ht="20" hidden="1" x14ac:dyDescent="0.25">
      <c r="A37" s="15" t="s">
        <v>181</v>
      </c>
      <c r="B37" s="15" t="s">
        <v>159</v>
      </c>
      <c r="C37" s="15">
        <v>56.026257999999999</v>
      </c>
      <c r="D37" s="15">
        <v>-3.6829770000000002</v>
      </c>
      <c r="E37" s="15">
        <v>50</v>
      </c>
      <c r="L37" s="16">
        <v>3000000</v>
      </c>
      <c r="N37" s="15" t="s">
        <v>99</v>
      </c>
      <c r="O37" s="18" t="s">
        <v>182</v>
      </c>
      <c r="P37" s="15" t="s">
        <v>183</v>
      </c>
    </row>
    <row r="38" spans="1:16" hidden="1" x14ac:dyDescent="0.25">
      <c r="A38" s="37" t="s">
        <v>68</v>
      </c>
      <c r="B38" s="15" t="s">
        <v>61</v>
      </c>
      <c r="C38" s="15">
        <v>54.7</v>
      </c>
      <c r="D38" s="15">
        <v>1.2</v>
      </c>
      <c r="F38" s="9">
        <v>900000</v>
      </c>
      <c r="G38" s="15">
        <v>2027</v>
      </c>
      <c r="L38" s="16">
        <v>8000000</v>
      </c>
      <c r="M38" s="17">
        <v>2030</v>
      </c>
      <c r="N38" s="15" t="s">
        <v>99</v>
      </c>
      <c r="P38" s="15" t="s">
        <v>144</v>
      </c>
    </row>
    <row r="39" spans="1:16" hidden="1" x14ac:dyDescent="0.25">
      <c r="A39" s="37" t="s">
        <v>69</v>
      </c>
      <c r="B39" s="15" t="s">
        <v>61</v>
      </c>
      <c r="C39" s="15">
        <v>54.05</v>
      </c>
      <c r="D39" s="15">
        <v>1.4</v>
      </c>
      <c r="L39" s="16">
        <v>4000000</v>
      </c>
      <c r="M39" s="17">
        <v>2028</v>
      </c>
      <c r="N39" s="15" t="s">
        <v>99</v>
      </c>
      <c r="P39" s="15" t="s">
        <v>145</v>
      </c>
    </row>
    <row r="40" spans="1:16" ht="20" hidden="1" x14ac:dyDescent="0.25">
      <c r="A40" s="15" t="s">
        <v>184</v>
      </c>
      <c r="B40" s="15" t="s">
        <v>159</v>
      </c>
      <c r="O40" s="18" t="s">
        <v>174</v>
      </c>
    </row>
    <row r="41" spans="1:16" hidden="1" x14ac:dyDescent="0.25">
      <c r="A41" s="37" t="s">
        <v>70</v>
      </c>
      <c r="B41" s="15" t="s">
        <v>61</v>
      </c>
      <c r="C41" s="15">
        <v>53.05</v>
      </c>
      <c r="D41" s="15">
        <v>1.42</v>
      </c>
      <c r="E41" s="15">
        <v>330</v>
      </c>
      <c r="F41" s="9">
        <v>6000000</v>
      </c>
      <c r="G41" s="15">
        <v>2027</v>
      </c>
      <c r="L41" s="16">
        <v>10000000</v>
      </c>
      <c r="M41" s="17">
        <v>2030</v>
      </c>
      <c r="N41" s="15" t="s">
        <v>89</v>
      </c>
      <c r="P41" s="15" t="s">
        <v>146</v>
      </c>
    </row>
    <row r="42" spans="1:16" ht="20" hidden="1" x14ac:dyDescent="0.25">
      <c r="A42" s="15" t="s">
        <v>185</v>
      </c>
      <c r="B42" s="15" t="s">
        <v>159</v>
      </c>
      <c r="O42" s="18" t="s">
        <v>174</v>
      </c>
    </row>
    <row r="43" spans="1:16" hidden="1" x14ac:dyDescent="0.25"/>
    <row r="44" spans="1:16" hidden="1" x14ac:dyDescent="0.25">
      <c r="A44" s="37" t="s">
        <v>95</v>
      </c>
      <c r="B44" s="15" t="s">
        <v>72</v>
      </c>
      <c r="C44" s="15">
        <v>56.640799999999999</v>
      </c>
      <c r="D44" s="15">
        <v>5.2718999999999996</v>
      </c>
      <c r="E44" s="15" t="s">
        <v>186</v>
      </c>
      <c r="F44" s="16">
        <v>400000</v>
      </c>
      <c r="G44" s="15">
        <v>2026</v>
      </c>
      <c r="L44" s="40">
        <v>8000000</v>
      </c>
      <c r="M44" s="17">
        <v>2030</v>
      </c>
      <c r="N44" s="15" t="s">
        <v>89</v>
      </c>
      <c r="P44" s="15" t="s">
        <v>187</v>
      </c>
    </row>
    <row r="45" spans="1:16" ht="20" hidden="1" x14ac:dyDescent="0.25">
      <c r="A45" s="15" t="s">
        <v>188</v>
      </c>
      <c r="B45" s="15" t="s">
        <v>173</v>
      </c>
      <c r="C45" s="15">
        <v>56</v>
      </c>
      <c r="D45" s="15">
        <v>11</v>
      </c>
      <c r="L45" s="16">
        <v>10000000</v>
      </c>
      <c r="M45" s="17"/>
      <c r="N45" s="15" t="s">
        <v>99</v>
      </c>
      <c r="O45" s="18" t="s">
        <v>189</v>
      </c>
      <c r="P45" s="15" t="s">
        <v>190</v>
      </c>
    </row>
    <row r="46" spans="1:16" hidden="1" x14ac:dyDescent="0.25">
      <c r="A46" s="15" t="s">
        <v>191</v>
      </c>
      <c r="B46" s="15" t="s">
        <v>72</v>
      </c>
      <c r="C46" s="15">
        <v>56.520810269999998</v>
      </c>
      <c r="D46" s="15">
        <v>9.9980418810000007</v>
      </c>
      <c r="E46" s="15">
        <v>250</v>
      </c>
      <c r="L46" s="16">
        <v>8000000</v>
      </c>
      <c r="M46" s="17">
        <v>2029</v>
      </c>
      <c r="N46" s="15" t="s">
        <v>99</v>
      </c>
      <c r="P46" s="15" t="s">
        <v>192</v>
      </c>
    </row>
    <row r="47" spans="1:16" ht="20" hidden="1" x14ac:dyDescent="0.25">
      <c r="A47" s="15" t="s">
        <v>193</v>
      </c>
      <c r="B47" s="15" t="s">
        <v>159</v>
      </c>
      <c r="C47" s="15">
        <v>53.846666999999997</v>
      </c>
      <c r="D47" s="15">
        <v>-3.5808330000000002</v>
      </c>
      <c r="L47" s="16">
        <v>25000000</v>
      </c>
      <c r="M47" s="17"/>
      <c r="N47" s="15" t="s">
        <v>89</v>
      </c>
      <c r="O47" s="18" t="s">
        <v>194</v>
      </c>
    </row>
    <row r="48" spans="1:16" ht="20" hidden="1" x14ac:dyDescent="0.25">
      <c r="A48" s="15" t="s">
        <v>195</v>
      </c>
      <c r="B48" s="15" t="s">
        <v>173</v>
      </c>
      <c r="C48" s="15">
        <v>54.637608059999998</v>
      </c>
      <c r="D48" s="15">
        <v>11.459127329999999</v>
      </c>
      <c r="L48" s="16">
        <v>10000000</v>
      </c>
      <c r="M48" s="17">
        <v>2030</v>
      </c>
      <c r="N48" s="15" t="s">
        <v>99</v>
      </c>
      <c r="O48" s="18" t="s">
        <v>196</v>
      </c>
      <c r="P48" s="15" t="s">
        <v>144</v>
      </c>
    </row>
  </sheetData>
  <autoFilter ref="A1:P48" xr:uid="{36836EA1-C29E-2846-BAFC-E555010E4EAE}">
    <filterColumn colId="1">
      <filters>
        <filter val="NO"/>
      </filters>
    </filterColumn>
    <sortState xmlns:xlrd2="http://schemas.microsoft.com/office/spreadsheetml/2017/richdata2" ref="A2:P29">
      <sortCondition ref="A1:A29"/>
    </sortState>
  </autoFilter>
  <hyperlinks>
    <hyperlink ref="P16" r:id="rId1" display="https://northernlightsccs.com/en/about" xr:uid="{CF780E34-ADD9-8F4F-BADD-A2980A5B6ABF}"/>
    <hyperlink ref="P3" r:id="rId2" xr:uid="{28D903CB-908A-4D4A-81EC-3671E1F2D1B4}"/>
    <hyperlink ref="P8" r:id="rId3" xr:uid="{FDA37932-5712-CE48-80CC-BDB617EE6017}"/>
    <hyperlink ref="P23" r:id="rId4" xr:uid="{BC28E8F4-0321-BB4B-9B56-1AD431F856B4}"/>
    <hyperlink ref="P4" r:id="rId5" xr:uid="{F34BD998-B0E3-1344-83CD-2F442271D352}"/>
    <hyperlink ref="P6" r:id="rId6" display="https://www.carbfix.com/codaterminal" xr:uid="{F1457C99-96AB-9A4B-BE7F-8A34C0ED2F18}"/>
    <hyperlink ref="P18" r:id="rId7" xr:uid="{8F0019EA-7DF3-454D-89B8-0DEADF493F62}"/>
    <hyperlink ref="P25" r:id="rId8" display="https://www.equinor.com/news/archive/20220405-awarded-smeaheia-polaris-co2-licenses" xr:uid="{D8D3D08E-2FF3-3341-B7EB-B94F4B76CA97}"/>
    <hyperlink ref="P13" r:id="rId9" xr:uid="{265AA94B-7770-AE40-B52E-33B7C49CD4B2}"/>
    <hyperlink ref="P10" r:id="rId10" location=":~:text=Bacton%20Thames%20Net%20Zero%20(BTNZ,the%20Bacton%20and%20Thames%20regions." xr:uid="{054954CE-71A7-4E44-9269-BCF3968EAEE5}"/>
    <hyperlink ref="P2" r:id="rId11" xr:uid="{76ABFE8B-FE75-F24B-8AB8-B6F7F95315EC}"/>
    <hyperlink ref="P29" r:id="rId12" xr:uid="{D0141296-4CFA-954F-BC9C-B44B44860E3A}"/>
    <hyperlink ref="P28" r:id="rId13" xr:uid="{A65B8337-DEE0-3E4A-8C98-29E857B983A1}"/>
    <hyperlink ref="P26" r:id="rId14" xr:uid="{939DB373-A5B4-9D4C-95D0-43361FE40783}"/>
    <hyperlink ref="P20" r:id="rId15" xr:uid="{73C61BF4-8079-6E4F-A36A-0A93E990C85A}"/>
    <hyperlink ref="P9" r:id="rId16" xr:uid="{D2702961-FB19-1B44-9FAE-248029A5FAB6}"/>
    <hyperlink ref="P17" r:id="rId17" xr:uid="{C38E2411-D7AF-CE4A-8F41-B852D5CB5DC1}"/>
    <hyperlink ref="P12" r:id="rId18" xr:uid="{50CE62EB-2861-A546-B078-EF236FAAFD5A}"/>
    <hyperlink ref="P14" r:id="rId19" xr:uid="{53B2D3AE-8674-E743-B722-91444C6ADD71}"/>
    <hyperlink ref="P19" r:id="rId20" xr:uid="{67AB8AD3-11EB-EA42-880E-A6A38ECBB474}"/>
    <hyperlink ref="P15" r:id="rId21" xr:uid="{1E660514-6017-0041-A71C-8E876FEF6F50}"/>
    <hyperlink ref="P21" r:id="rId22" xr:uid="{BCAC0BB8-83DD-794C-A986-D07A06E9DF7D}"/>
    <hyperlink ref="P22" r:id="rId23" xr:uid="{54F5221B-E432-194B-9897-245330FE3BB9}"/>
    <hyperlink ref="P30" r:id="rId24" display="https://www.energyvoice.com/renewables-energy-transition/525772/perenco-north-sea-ccs-poseidon-orion/" xr:uid="{1F95279A-0C34-0242-82A2-4D00A6A7911A}"/>
    <hyperlink ref="P31" r:id="rId25" xr:uid="{0AB8C4BE-58DD-BC41-8C5D-E41191931406}"/>
    <hyperlink ref="P32" r:id="rId26" location=" " xr:uid="{E1071EE6-A788-5A4C-B72D-001C83832E46}"/>
    <hyperlink ref="P35" r:id="rId27" display="https://sequestration.mit.edu/tools/projects/snohvit.html; " xr:uid="{98FD8FD0-5613-B142-8032-BCE65CE9287D}"/>
  </hyperlinks>
  <pageMargins left="0.7" right="0.7" top="0.75" bottom="0.75" header="0.3" footer="0.3"/>
  <legacyDrawing r:id="rId28"/>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Nodes_used</vt:lpstr>
      <vt:lpstr>Nodes_all</vt:lpstr>
      <vt:lpstr>storage_clean</vt:lpstr>
      <vt:lpstr>storage_projects_all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Wiegner, J.F. (Jan)</dc:creator>
  <cp:lastModifiedBy>Tohver, M. (Maian)</cp:lastModifiedBy>
  <dcterms:created xsi:type="dcterms:W3CDTF">2015-06-05T18:19:34Z</dcterms:created>
  <dcterms:modified xsi:type="dcterms:W3CDTF">2026-10-27T10:14:31Z</dcterms:modified>
</cp:coreProperties>
</file>