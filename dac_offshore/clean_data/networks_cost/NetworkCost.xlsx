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8051917/PycharmProjects/AdOpT-NET0_DAC-Offshore/dac_offshore/clean_data/networks_cost/"/>
    </mc:Choice>
  </mc:AlternateContent>
  <xr:revisionPtr revIDLastSave="0" documentId="13_ncr:1_{EE970697-BDBC-3F41-B9B3-CA114B5F1074}" xr6:coauthVersionLast="47" xr6:coauthVersionMax="47" xr10:uidLastSave="{00000000-0000-0000-0000-000000000000}"/>
  <bookViews>
    <workbookView xWindow="-1620" yWindow="-22860" windowWidth="40120" windowHeight="22860" xr2:uid="{A0B038B2-1901-4BA8-93AC-5F1953A9A6DA}"/>
  </bookViews>
  <sheets>
    <sheet name="ToModel_2025" sheetId="13" r:id="rId1"/>
    <sheet name="ToModel" sheetId="1" r:id="rId2"/>
    <sheet name="ToLatex" sheetId="12" r:id="rId3"/>
    <sheet name="H2" sheetId="11" r:id="rId4"/>
    <sheet name="DC" sheetId="9" r:id="rId5"/>
    <sheet name="ACDC" sheetId="10" r:id="rId6"/>
  </sheets>
  <definedNames>
    <definedName name="_xlnm._FilterDatabase" localSheetId="1" hidden="1">ToModel!$A$2:$S$2</definedName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'H2'!$AB$38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2" l="1"/>
  <c r="L13" i="12"/>
  <c r="B13" i="12"/>
  <c r="C13" i="12"/>
  <c r="D13" i="12"/>
  <c r="E13" i="12"/>
  <c r="F13" i="12"/>
  <c r="G13" i="12"/>
  <c r="H13" i="12"/>
  <c r="I13" i="12"/>
  <c r="J13" i="12"/>
  <c r="C12" i="12"/>
  <c r="D12" i="12"/>
  <c r="E12" i="12"/>
  <c r="F12" i="12"/>
  <c r="G12" i="12"/>
  <c r="H12" i="12"/>
  <c r="I12" i="12"/>
  <c r="J12" i="12"/>
  <c r="B12" i="12"/>
  <c r="L15" i="12"/>
  <c r="L16" i="12"/>
  <c r="L17" i="12"/>
  <c r="L18" i="12"/>
  <c r="L19" i="12"/>
  <c r="L20" i="12"/>
  <c r="L14" i="12"/>
  <c r="B14" i="12" a="1"/>
  <c r="S3" i="12"/>
  <c r="S4" i="12"/>
  <c r="S5" i="12"/>
  <c r="S6" i="12"/>
  <c r="S7" i="12"/>
  <c r="S8" i="12"/>
  <c r="S9" i="12"/>
  <c r="S10" i="12"/>
  <c r="S2" i="12"/>
  <c r="K3" i="12"/>
  <c r="L3" i="12"/>
  <c r="M3" i="12"/>
  <c r="N3" i="12"/>
  <c r="O3" i="12"/>
  <c r="K4" i="12"/>
  <c r="L4" i="12"/>
  <c r="M4" i="12"/>
  <c r="N4" i="12"/>
  <c r="O4" i="12"/>
  <c r="K5" i="12"/>
  <c r="L5" i="12"/>
  <c r="M5" i="12"/>
  <c r="N5" i="12"/>
  <c r="O5" i="12"/>
  <c r="K6" i="12"/>
  <c r="L6" i="12"/>
  <c r="M6" i="12"/>
  <c r="N6" i="12"/>
  <c r="O6" i="12"/>
  <c r="K7" i="12"/>
  <c r="L7" i="12"/>
  <c r="M7" i="12"/>
  <c r="N7" i="12"/>
  <c r="O7" i="12"/>
  <c r="K8" i="12"/>
  <c r="L8" i="12"/>
  <c r="M8" i="12"/>
  <c r="N8" i="12"/>
  <c r="O8" i="12"/>
  <c r="K9" i="12"/>
  <c r="L9" i="12"/>
  <c r="M9" i="12"/>
  <c r="N9" i="12"/>
  <c r="O9" i="12"/>
  <c r="L2" i="12"/>
  <c r="M2" i="12"/>
  <c r="N2" i="12"/>
  <c r="O2" i="12"/>
  <c r="K2" i="12"/>
  <c r="F8" i="1" l="1"/>
  <c r="G8" i="1"/>
  <c r="H8" i="1"/>
  <c r="E8" i="1"/>
  <c r="F7" i="1"/>
  <c r="G7" i="1"/>
  <c r="H7" i="1"/>
  <c r="E7" i="1"/>
  <c r="F6" i="1"/>
  <c r="G6" i="1"/>
  <c r="H6" i="1"/>
  <c r="E6" i="1"/>
  <c r="K6" i="11"/>
  <c r="K4" i="11"/>
  <c r="M4" i="11" s="1"/>
  <c r="K3" i="11"/>
  <c r="M3" i="11" s="1"/>
  <c r="K2" i="11"/>
  <c r="M2" i="11" s="1"/>
  <c r="E16" i="11"/>
  <c r="D16" i="11"/>
  <c r="C16" i="11"/>
  <c r="B16" i="11"/>
  <c r="C15" i="11"/>
  <c r="C14" i="11"/>
  <c r="D21" i="11"/>
  <c r="E14" i="11"/>
  <c r="E15" i="11"/>
  <c r="L4" i="11" l="1"/>
  <c r="L3" i="11"/>
  <c r="B15" i="11" l="1"/>
  <c r="B14" i="11"/>
  <c r="B21" i="11"/>
  <c r="E21" i="11" s="1"/>
  <c r="I8" i="1"/>
  <c r="I7" i="1"/>
  <c r="I6" i="1"/>
  <c r="T5" i="1"/>
  <c r="T4" i="1"/>
  <c r="T3" i="1"/>
  <c r="F4" i="1" l="1"/>
  <c r="G4" i="1"/>
  <c r="H4" i="1"/>
  <c r="G5" i="1"/>
  <c r="H3" i="1"/>
  <c r="G3" i="1" l="1"/>
  <c r="F3" i="1"/>
  <c r="I5" i="1"/>
  <c r="I4" i="1"/>
  <c r="E6" i="11"/>
  <c r="E7" i="11"/>
  <c r="E8" i="11"/>
  <c r="E9" i="11"/>
  <c r="E10" i="11"/>
  <c r="E5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H25" i="11"/>
  <c r="K25" i="11" s="1"/>
  <c r="H26" i="11"/>
  <c r="K26" i="11" s="1"/>
  <c r="H27" i="11"/>
  <c r="K27" i="11" s="1"/>
  <c r="H28" i="11"/>
  <c r="K28" i="11" s="1"/>
  <c r="H29" i="11"/>
  <c r="K29" i="11" s="1"/>
  <c r="H30" i="11"/>
  <c r="K30" i="11" s="1"/>
  <c r="H31" i="11"/>
  <c r="K31" i="11" s="1"/>
  <c r="H32" i="11"/>
  <c r="K32" i="11" s="1"/>
  <c r="H33" i="11"/>
  <c r="K33" i="11" s="1"/>
  <c r="H34" i="11"/>
  <c r="K34" i="11" s="1"/>
  <c r="H35" i="11"/>
  <c r="K35" i="11" s="1"/>
  <c r="H36" i="11"/>
  <c r="K36" i="11" s="1"/>
  <c r="H37" i="11"/>
  <c r="K37" i="11" s="1"/>
  <c r="H38" i="11"/>
  <c r="K38" i="11" s="1"/>
  <c r="H39" i="11"/>
  <c r="K39" i="11" s="1"/>
  <c r="H40" i="11"/>
  <c r="K40" i="11" s="1"/>
  <c r="B25" i="11"/>
  <c r="E25" i="11" s="1"/>
  <c r="B26" i="11"/>
  <c r="E26" i="11" s="1"/>
  <c r="B27" i="11"/>
  <c r="E27" i="11" s="1"/>
  <c r="B28" i="11"/>
  <c r="E28" i="11" s="1"/>
  <c r="B29" i="11"/>
  <c r="E29" i="11" s="1"/>
  <c r="B30" i="11"/>
  <c r="E30" i="11" s="1"/>
  <c r="B31" i="11"/>
  <c r="E31" i="11" s="1"/>
  <c r="B32" i="11"/>
  <c r="E32" i="11" s="1"/>
  <c r="B33" i="11"/>
  <c r="E33" i="11" s="1"/>
  <c r="B34" i="11"/>
  <c r="E34" i="11" s="1"/>
  <c r="B35" i="11"/>
  <c r="E35" i="11" s="1"/>
  <c r="B36" i="11"/>
  <c r="E36" i="11" s="1"/>
  <c r="B37" i="11"/>
  <c r="E37" i="11" s="1"/>
  <c r="B38" i="11"/>
  <c r="E38" i="11" s="1"/>
  <c r="B39" i="11"/>
  <c r="E39" i="11" s="1"/>
  <c r="B40" i="11"/>
  <c r="E40" i="11" s="1"/>
  <c r="H24" i="11" l="1"/>
  <c r="K24" i="11" s="1"/>
  <c r="H23" i="11"/>
  <c r="K23" i="11" s="1"/>
  <c r="H22" i="11"/>
  <c r="K22" i="11" s="1"/>
  <c r="H21" i="11"/>
  <c r="K21" i="11" s="1"/>
  <c r="B22" i="11"/>
  <c r="E22" i="11" s="1"/>
  <c r="B23" i="11"/>
  <c r="E23" i="11" s="1"/>
  <c r="B24" i="11"/>
  <c r="E24" i="11" s="1"/>
  <c r="B5" i="1" l="1"/>
  <c r="H5" i="1" s="1"/>
  <c r="C5" i="1"/>
  <c r="F5" i="1" s="1"/>
  <c r="I3" i="1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6" i="9"/>
  <c r="U16" i="9"/>
  <c r="T17" i="9"/>
  <c r="U17" i="9"/>
  <c r="T18" i="9"/>
  <c r="U18" i="9"/>
  <c r="T19" i="9"/>
  <c r="U19" i="9"/>
  <c r="T7" i="9"/>
  <c r="U7" i="9"/>
  <c r="M10" i="9"/>
  <c r="M13" i="9"/>
  <c r="P13" i="9" s="1"/>
  <c r="M18" i="9"/>
  <c r="L19" i="9"/>
  <c r="K19" i="9"/>
  <c r="L18" i="9"/>
  <c r="K18" i="9"/>
  <c r="L17" i="9"/>
  <c r="K17" i="9"/>
  <c r="L16" i="9"/>
  <c r="K16" i="9"/>
  <c r="L15" i="9"/>
  <c r="K15" i="9"/>
  <c r="M15" i="9" s="1"/>
  <c r="L14" i="9"/>
  <c r="K14" i="9"/>
  <c r="M14" i="9" s="1"/>
  <c r="L13" i="9"/>
  <c r="K13" i="9"/>
  <c r="O13" i="9" s="1"/>
  <c r="L12" i="9"/>
  <c r="K12" i="9"/>
  <c r="L11" i="9"/>
  <c r="K11" i="9"/>
  <c r="L10" i="9"/>
  <c r="K10" i="9"/>
  <c r="L9" i="9"/>
  <c r="K9" i="9"/>
  <c r="O9" i="9" s="1"/>
  <c r="L8" i="9"/>
  <c r="K8" i="9"/>
  <c r="L7" i="9"/>
  <c r="K7" i="9"/>
  <c r="P10" i="9" l="1"/>
  <c r="O7" i="9"/>
  <c r="R7" i="9" s="1"/>
  <c r="O15" i="9"/>
  <c r="N15" i="9" s="1"/>
  <c r="Q15" i="9" s="1"/>
  <c r="M7" i="9"/>
  <c r="P7" i="9" s="1"/>
  <c r="M12" i="9"/>
  <c r="P12" i="9" s="1"/>
  <c r="M19" i="9"/>
  <c r="P19" i="9" s="1"/>
  <c r="M11" i="9"/>
  <c r="P11" i="9" s="1"/>
  <c r="M17" i="9"/>
  <c r="P17" i="9" s="1"/>
  <c r="M9" i="9"/>
  <c r="P9" i="9" s="1"/>
  <c r="P18" i="9"/>
  <c r="M16" i="9"/>
  <c r="P16" i="9" s="1"/>
  <c r="M8" i="9"/>
  <c r="P8" i="9" s="1"/>
  <c r="P14" i="9"/>
  <c r="R9" i="9"/>
  <c r="R13" i="9"/>
  <c r="N13" i="9"/>
  <c r="Q13" i="9" s="1"/>
  <c r="R15" i="9"/>
  <c r="O17" i="9"/>
  <c r="O11" i="9"/>
  <c r="O19" i="9"/>
  <c r="P15" i="9"/>
  <c r="O10" i="9"/>
  <c r="N10" i="9" s="1"/>
  <c r="Q10" i="9" s="1"/>
  <c r="O14" i="9"/>
  <c r="R14" i="9" s="1"/>
  <c r="O12" i="9"/>
  <c r="O8" i="9"/>
  <c r="O18" i="9"/>
  <c r="R18" i="9" s="1"/>
  <c r="O16" i="9"/>
  <c r="R10" i="9" l="1"/>
  <c r="N9" i="9"/>
  <c r="Q9" i="9" s="1"/>
  <c r="N8" i="9"/>
  <c r="Q8" i="9" s="1"/>
  <c r="R8" i="9"/>
  <c r="N11" i="9"/>
  <c r="Q11" i="9" s="1"/>
  <c r="R11" i="9"/>
  <c r="N19" i="9"/>
  <c r="Q19" i="9" s="1"/>
  <c r="R19" i="9"/>
  <c r="N12" i="9"/>
  <c r="Q12" i="9" s="1"/>
  <c r="R12" i="9"/>
  <c r="N17" i="9"/>
  <c r="Q17" i="9" s="1"/>
  <c r="R17" i="9"/>
  <c r="N16" i="9"/>
  <c r="Q16" i="9" s="1"/>
  <c r="R16" i="9"/>
  <c r="N18" i="9"/>
  <c r="Q18" i="9" s="1"/>
  <c r="N14" i="9"/>
  <c r="Q14" i="9" s="1"/>
  <c r="N7" i="9"/>
  <c r="Q7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<sst xmlns="http://schemas.openxmlformats.org/spreadsheetml/2006/main" count="285" uniqueCount="144">
  <si>
    <t>Type</t>
  </si>
  <si>
    <t>new</t>
  </si>
  <si>
    <t>interest rate</t>
  </si>
  <si>
    <t>Lifetime</t>
  </si>
  <si>
    <t>OPEX Fixed</t>
  </si>
  <si>
    <t>OPEX Variable</t>
  </si>
  <si>
    <t>Source</t>
  </si>
  <si>
    <t>Year</t>
  </si>
  <si>
    <t>years</t>
  </si>
  <si>
    <t>EUR/MWh_e</t>
  </si>
  <si>
    <t>F</t>
  </si>
  <si>
    <t>km</t>
  </si>
  <si>
    <t>EUR/MW</t>
  </si>
  <si>
    <t>annualization factor</t>
  </si>
  <si>
    <t>% of annual investment</t>
  </si>
  <si>
    <t>Note</t>
  </si>
  <si>
    <t>MW</t>
  </si>
  <si>
    <t>EUR/MW/km</t>
  </si>
  <si>
    <t>Network</t>
  </si>
  <si>
    <t>l=</t>
  </si>
  <si>
    <t>p=</t>
  </si>
  <si>
    <t>Review of investment model cost parameters for VSC HVDC transmission infrastructure</t>
  </si>
  <si>
    <t>total</t>
  </si>
  <si>
    <t>/km</t>
  </si>
  <si>
    <t>B_lp</t>
  </si>
  <si>
    <t>B_l</t>
  </si>
  <si>
    <t>B_0</t>
  </si>
  <si>
    <t>N_p</t>
  </si>
  <si>
    <t>N_0</t>
  </si>
  <si>
    <t>S_p</t>
  </si>
  <si>
    <t>S_0</t>
  </si>
  <si>
    <t>Pj</t>
  </si>
  <si>
    <t>First factor</t>
  </si>
  <si>
    <t>Second factor</t>
  </si>
  <si>
    <t>cost Branch</t>
  </si>
  <si>
    <t>cost Node</t>
  </si>
  <si>
    <t>total (mio Euro)</t>
  </si>
  <si>
    <t>Realize Grid</t>
  </si>
  <si>
    <t>Wind Speed</t>
  </si>
  <si>
    <t>ENTSOE-E</t>
  </si>
  <si>
    <t>Ergun et al</t>
  </si>
  <si>
    <t>ETYS</t>
  </si>
  <si>
    <t>NSTG</t>
  </si>
  <si>
    <t>NSOG</t>
  </si>
  <si>
    <t>Imperial C</t>
  </si>
  <si>
    <t>NorthSeaGrid</t>
  </si>
  <si>
    <t>OffshoreDC</t>
  </si>
  <si>
    <t>Adariaga et al</t>
  </si>
  <si>
    <t>Torbaghan</t>
  </si>
  <si>
    <t>mio EUR</t>
  </si>
  <si>
    <t>GW</t>
  </si>
  <si>
    <t>mioEUR/GW/km</t>
  </si>
  <si>
    <t>mioEUR/GW</t>
  </si>
  <si>
    <t>https://www.sciencedirect.com/science/article/pii/S0378779617302572</t>
  </si>
  <si>
    <t>https://www.sciencedirect.com/science/article/pii/S0306261918312790#b0440</t>
  </si>
  <si>
    <t>electricityAC</t>
  </si>
  <si>
    <t>electricityDC</t>
  </si>
  <si>
    <t>loss</t>
  </si>
  <si>
    <t>%/km</t>
  </si>
  <si>
    <t>electricityDC_int</t>
  </si>
  <si>
    <t>rated power</t>
  </si>
  <si>
    <t>https://ehb.eu/page/publications</t>
  </si>
  <si>
    <t>European Hydrogen Backbone, April 2022</t>
  </si>
  <si>
    <t>Capacity</t>
  </si>
  <si>
    <t>mio EUR/km</t>
  </si>
  <si>
    <t>repurposed</t>
  </si>
  <si>
    <t>factors</t>
  </si>
  <si>
    <t>gamma1</t>
  </si>
  <si>
    <t>gamma2</t>
  </si>
  <si>
    <t>gamma3</t>
  </si>
  <si>
    <t>Size</t>
  </si>
  <si>
    <t>Distance</t>
  </si>
  <si>
    <t>Cost</t>
  </si>
  <si>
    <t>S*D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</si>
  <si>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</si>
  <si>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</si>
  <si>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</si>
  <si>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</si>
  <si>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</si>
  <si>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</si>
  <si>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</si>
  <si>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</si>
  <si>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</si>
  <si>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</si>
  <si>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</si>
  <si>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</si>
  <si>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</si>
  <si>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</si>
  <si>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</si>
  <si>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</si>
  <si>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</si>
  <si>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</si>
  <si>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</si>
  <si>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</si>
  <si>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</si>
  <si>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</si>
  <si>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</si>
  <si>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</si>
  <si>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X Variable 2</t>
  </si>
  <si>
    <t>RESIDUAL OUTPUT</t>
  </si>
  <si>
    <t>Observation</t>
  </si>
  <si>
    <t>Predicted Y</t>
  </si>
  <si>
    <t>Residuals</t>
  </si>
  <si>
    <t>Inflation Correction</t>
  </si>
  <si>
    <t>gamma4</t>
  </si>
  <si>
    <t>Investment Cost 1</t>
  </si>
  <si>
    <t>Investment Cost 2</t>
  </si>
  <si>
    <t>Investment Cost 3</t>
  </si>
  <si>
    <t>Fixed</t>
  </si>
  <si>
    <t>Electricity AC</t>
  </si>
  <si>
    <t>Electricity DC</t>
  </si>
  <si>
    <t>[kEUR]</t>
  </si>
  <si>
    <t>[kEUR/MW]</t>
  </si>
  <si>
    <t>[kEUR/km]</t>
  </si>
  <si>
    <t>[kEUR/km/MW]</t>
  </si>
  <si>
    <t>[MW]</t>
  </si>
  <si>
    <t>[a]</t>
  </si>
  <si>
    <t>[EUR/MWh]</t>
  </si>
  <si>
    <t>[\% annual CAPEX]</t>
  </si>
  <si>
    <t>\cite{Zappa2019}</t>
  </si>
  <si>
    <t>offshore: 1.7x onshore</t>
  </si>
  <si>
    <t>S</t>
  </si>
  <si>
    <t>D</t>
  </si>
  <si>
    <t>SD</t>
  </si>
  <si>
    <t>Example</t>
  </si>
  <si>
    <t>offshore</t>
  </si>
  <si>
    <t xml:space="preserve">S = </t>
  </si>
  <si>
    <t xml:space="preserve">D = </t>
  </si>
  <si>
    <t>with 0.4 EUR/MW/m</t>
  </si>
  <si>
    <t>EHB</t>
  </si>
  <si>
    <t>hydrogenPipelineOffshore</t>
  </si>
  <si>
    <t>hydrogenPipelineOnshore_new</t>
  </si>
  <si>
    <t>hydrogenPipelineOnshore_re</t>
  </si>
  <si>
    <t>\cite{EHB2022}</t>
  </si>
  <si>
    <t>H2 Pipeline (Offshore)</t>
  </si>
  <si>
    <t>H2 Pipeline (Onshore, new)</t>
  </si>
  <si>
    <t>H2 Pipeline (Onshore, repurposed)</t>
  </si>
  <si>
    <t>Cost year</t>
  </si>
  <si>
    <t>EUR/MW/km (2025 prices)</t>
  </si>
  <si>
    <t>EUR/MW (2025 prices)</t>
  </si>
  <si>
    <t>Original cost year</t>
  </si>
  <si>
    <t>PPI original year</t>
  </si>
  <si>
    <t>PPI 2025</t>
  </si>
  <si>
    <t>PPI factor 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</si>
</sst>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€&quot;\ * #,##0.00_ ;_ &quot;€&quot;\ * \-#,##0.00_ ;_ &quot;€&quot;\ * &quot;-&quot;??_ ;_ @_ "/>
    <numFmt numFmtId="165" formatCode="_ * #,##0.00_ ;_ * \-#,##0.00_ ;_ * &quot;-&quot;??_ ;_ @_ "/>
    <numFmt numFmtId="166" formatCode="_-* #,##0.00\ _F_t_-;\-* #,##0.00\ _F_t_-;_-* &quot;-&quot;??\ _F_t_-;_-@_-"/>
    <numFmt numFmtId="167" formatCode="0.0000%"/>
    <numFmt numFmtId="168" formatCode="0.0"/>
    <numFmt numFmtId="169" formatCode="_ * #,##0.000_ ;_ * \-#,##0.000_ ;_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  <charset val="238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2" borderId="0" applyNumberFormat="0" applyBorder="0" applyProtection="0">
      <alignment horizontal="left"/>
    </xf>
    <xf numFmtId="0" fontId="4" fillId="0" borderId="0"/>
    <xf numFmtId="0" fontId="5" fillId="0" borderId="0">
      <alignment vertical="center" wrapText="1"/>
    </xf>
    <xf numFmtId="166" fontId="6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164" fontId="0" fillId="0" borderId="0" xfId="0" applyNumberFormat="1"/>
    <xf numFmtId="164" fontId="0" fillId="0" borderId="0" xfId="6" applyFont="1"/>
    <xf numFmtId="165" fontId="0" fillId="0" borderId="0" xfId="5" applyFont="1"/>
    <xf numFmtId="10" fontId="0" fillId="0" borderId="0" xfId="0" applyNumberFormat="1"/>
    <xf numFmtId="167" fontId="0" fillId="0" borderId="0" xfId="0" applyNumberFormat="1"/>
    <xf numFmtId="0" fontId="0" fillId="0" borderId="1" xfId="0" applyBorder="1"/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Continuous"/>
    </xf>
    <xf numFmtId="11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7">
    <cellStyle name="Comma" xfId="5" builtinId="3"/>
    <cellStyle name="Comma 3" xfId="4" xr:uid="{130D7120-2293-4788-93B8-C8A24435CE09}"/>
    <cellStyle name="Currency" xfId="6" builtinId="4"/>
    <cellStyle name="Normal" xfId="0" builtinId="0"/>
    <cellStyle name="Normal 4" xfId="3" xr:uid="{4602A863-2D89-4649-A621-76184ECB91DE}"/>
    <cellStyle name="Standard_Data provided by OT3" xfId="2" xr:uid="{33DF283E-2552-47A0-AC48-E01DBA05B3D9}"/>
    <cellStyle name="Style 22" xfId="1" xr:uid="{569CA179-60FD-4E5D-9285-1C54815089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'H2'!$H$21:$H$32</c:f>
              <c:numCache>
                <c:formatCode>General</c:formatCode>
                <c:ptCount val="12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FD-40ED-A9E1-3FA4D881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194288"/>
        <c:axId val="752199536"/>
      </c:scatterChart>
      <c:valAx>
        <c:axId val="752194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9536"/>
        <c:crosses val="autoZero"/>
        <c:crossBetween val="midCat"/>
      </c:valAx>
      <c:valAx>
        <c:axId val="752199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428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'H2'!$I$21:$I$32</c:f>
              <c:numCache>
                <c:formatCode>General</c:formatCode>
                <c:ptCount val="12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25-429D-912D-B5267057C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199864"/>
        <c:axId val="752194944"/>
      </c:scatterChart>
      <c:valAx>
        <c:axId val="752199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4944"/>
        <c:crosses val="autoZero"/>
        <c:crossBetween val="midCat"/>
      </c:valAx>
      <c:valAx>
        <c:axId val="7521949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986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'H2'!$H$21:$H$32</c:f>
              <c:numCache>
                <c:formatCode>General</c:formatCode>
                <c:ptCount val="12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</c:numCache>
            </c:numRef>
          </c:xVal>
          <c:yVal>
            <c:numRef>
              <c:f>'H2'!$AC$84:$AC$95</c:f>
              <c:numCache>
                <c:formatCode>General</c:formatCode>
                <c:ptCount val="12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05-4D0E-B675-DB658E874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549720"/>
        <c:axId val="786545128"/>
      </c:scatterChart>
      <c:valAx>
        <c:axId val="786549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45128"/>
        <c:crosses val="autoZero"/>
        <c:crossBetween val="midCat"/>
      </c:valAx>
      <c:valAx>
        <c:axId val="7865451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4972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'H2'!$I$21:$I$32</c:f>
              <c:numCache>
                <c:formatCode>General</c:formatCode>
                <c:ptCount val="12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</c:numCache>
            </c:numRef>
          </c:xVal>
          <c:yVal>
            <c:numRef>
              <c:f>'H2'!$AC$84:$AC$95</c:f>
              <c:numCache>
                <c:formatCode>General</c:formatCode>
                <c:ptCount val="12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9F-47E2-BD70-5E6966046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546112"/>
        <c:axId val="786553656"/>
      </c:scatterChart>
      <c:valAx>
        <c:axId val="786546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53656"/>
        <c:crosses val="autoZero"/>
        <c:crossBetween val="midCat"/>
      </c:valAx>
      <c:valAx>
        <c:axId val="7865536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4611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'H2'!$H$21:$H$56</c:f>
              <c:numCache>
                <c:formatCode>General</c:formatCode>
                <c:ptCount val="36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  <c:pt idx="12">
                  <c:v>8450000</c:v>
                </c:pt>
                <c:pt idx="13">
                  <c:v>9100000</c:v>
                </c:pt>
                <c:pt idx="14">
                  <c:v>9750000</c:v>
                </c:pt>
                <c:pt idx="15">
                  <c:v>10400000</c:v>
                </c:pt>
                <c:pt idx="16">
                  <c:v>11050000</c:v>
                </c:pt>
                <c:pt idx="17">
                  <c:v>11700000</c:v>
                </c:pt>
                <c:pt idx="18">
                  <c:v>12350000</c:v>
                </c:pt>
                <c:pt idx="19">
                  <c:v>13000000</c:v>
                </c:pt>
              </c:numCache>
            </c:numRef>
          </c:xVal>
          <c:yVal>
            <c:numRef>
              <c:f>'H2'!$AC$84:$AC$119</c:f>
              <c:numCache>
                <c:formatCode>General</c:formatCode>
                <c:ptCount val="36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  <c:pt idx="12">
                  <c:v>-127.49230384949681</c:v>
                </c:pt>
                <c:pt idx="13">
                  <c:v>-152.97079811768072</c:v>
                </c:pt>
                <c:pt idx="14">
                  <c:v>-178.44929238586496</c:v>
                </c:pt>
                <c:pt idx="15">
                  <c:v>-203.92778665404921</c:v>
                </c:pt>
                <c:pt idx="16">
                  <c:v>357.92520816475474</c:v>
                </c:pt>
                <c:pt idx="17">
                  <c:v>429.51577898279606</c:v>
                </c:pt>
                <c:pt idx="18">
                  <c:v>501.10634980083739</c:v>
                </c:pt>
                <c:pt idx="19">
                  <c:v>572.69692061887872</c:v>
                </c:pt>
                <c:pt idx="20">
                  <c:v>306.80840272158491</c:v>
                </c:pt>
                <c:pt idx="21">
                  <c:v>368.17192632759873</c:v>
                </c:pt>
                <c:pt idx="22">
                  <c:v>429.53544993361243</c:v>
                </c:pt>
                <c:pt idx="23">
                  <c:v>490.89897353962624</c:v>
                </c:pt>
                <c:pt idx="24">
                  <c:v>-229.40628092223324</c:v>
                </c:pt>
                <c:pt idx="25">
                  <c:v>-254.88477519041749</c:v>
                </c:pt>
                <c:pt idx="26">
                  <c:v>-280.36326945860174</c:v>
                </c:pt>
                <c:pt idx="27">
                  <c:v>-305.84176372678576</c:v>
                </c:pt>
                <c:pt idx="28">
                  <c:v>644.28749143691994</c:v>
                </c:pt>
                <c:pt idx="29">
                  <c:v>715.87806225496126</c:v>
                </c:pt>
                <c:pt idx="30">
                  <c:v>787.46863307300259</c:v>
                </c:pt>
                <c:pt idx="31">
                  <c:v>859.05920389104392</c:v>
                </c:pt>
                <c:pt idx="32">
                  <c:v>552.26249714564005</c:v>
                </c:pt>
                <c:pt idx="33">
                  <c:v>613.62602075165375</c:v>
                </c:pt>
                <c:pt idx="34">
                  <c:v>674.98954435766757</c:v>
                </c:pt>
                <c:pt idx="35">
                  <c:v>736.35306796368127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0-4F66-830C-5E56C28C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60592"/>
        <c:axId val="829655344"/>
      </c:scatterChart>
      <c:valAx>
        <c:axId val="82966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5344"/>
        <c:crosses val="autoZero"/>
        <c:crossBetween val="midCat"/>
      </c:valAx>
      <c:valAx>
        <c:axId val="8296553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6059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'H2'!$I$21:$I$56</c:f>
              <c:numCache>
                <c:formatCode>General</c:formatCode>
                <c:ptCount val="36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  <c:pt idx="12">
                  <c:v>13000</c:v>
                </c:pt>
                <c:pt idx="13">
                  <c:v>13000</c:v>
                </c:pt>
                <c:pt idx="14">
                  <c:v>13000</c:v>
                </c:pt>
                <c:pt idx="15">
                  <c:v>13000</c:v>
                </c:pt>
                <c:pt idx="16">
                  <c:v>13000</c:v>
                </c:pt>
                <c:pt idx="17">
                  <c:v>13000</c:v>
                </c:pt>
                <c:pt idx="18">
                  <c:v>13000</c:v>
                </c:pt>
                <c:pt idx="19">
                  <c:v>13000</c:v>
                </c:pt>
              </c:numCache>
            </c:numRef>
          </c:xVal>
          <c:yVal>
            <c:numRef>
              <c:f>'H2'!$AC$84:$AC$119</c:f>
              <c:numCache>
                <c:formatCode>General</c:formatCode>
                <c:ptCount val="36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  <c:pt idx="12">
                  <c:v>-127.49230384949681</c:v>
                </c:pt>
                <c:pt idx="13">
                  <c:v>-152.97079811768072</c:v>
                </c:pt>
                <c:pt idx="14">
                  <c:v>-178.44929238586496</c:v>
                </c:pt>
                <c:pt idx="15">
                  <c:v>-203.92778665404921</c:v>
                </c:pt>
                <c:pt idx="16">
                  <c:v>357.92520816475474</c:v>
                </c:pt>
                <c:pt idx="17">
                  <c:v>429.51577898279606</c:v>
                </c:pt>
                <c:pt idx="18">
                  <c:v>501.10634980083739</c:v>
                </c:pt>
                <c:pt idx="19">
                  <c:v>572.69692061887872</c:v>
                </c:pt>
                <c:pt idx="20">
                  <c:v>306.80840272158491</c:v>
                </c:pt>
                <c:pt idx="21">
                  <c:v>368.17192632759873</c:v>
                </c:pt>
                <c:pt idx="22">
                  <c:v>429.53544993361243</c:v>
                </c:pt>
                <c:pt idx="23">
                  <c:v>490.89897353962624</c:v>
                </c:pt>
                <c:pt idx="24">
                  <c:v>-229.40628092223324</c:v>
                </c:pt>
                <c:pt idx="25">
                  <c:v>-254.88477519041749</c:v>
                </c:pt>
                <c:pt idx="26">
                  <c:v>-280.36326945860174</c:v>
                </c:pt>
                <c:pt idx="27">
                  <c:v>-305.84176372678576</c:v>
                </c:pt>
                <c:pt idx="28">
                  <c:v>644.28749143691994</c:v>
                </c:pt>
                <c:pt idx="29">
                  <c:v>715.87806225496126</c:v>
                </c:pt>
                <c:pt idx="30">
                  <c:v>787.46863307300259</c:v>
                </c:pt>
                <c:pt idx="31">
                  <c:v>859.05920389104392</c:v>
                </c:pt>
                <c:pt idx="32">
                  <c:v>552.26249714564005</c:v>
                </c:pt>
                <c:pt idx="33">
                  <c:v>613.62602075165375</c:v>
                </c:pt>
                <c:pt idx="34">
                  <c:v>674.98954435766757</c:v>
                </c:pt>
                <c:pt idx="35">
                  <c:v>736.35306796368127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C9-4D6F-9C01-B4103760F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56000"/>
        <c:axId val="829658952"/>
      </c:scatterChart>
      <c:valAx>
        <c:axId val="829656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8952"/>
        <c:crosses val="autoZero"/>
        <c:crossBetween val="midCat"/>
      </c:valAx>
      <c:valAx>
        <c:axId val="8296589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600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'H2'!$H$21:$H$56</c:f>
              <c:numCache>
                <c:formatCode>General</c:formatCode>
                <c:ptCount val="36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  <c:pt idx="12">
                  <c:v>8450000</c:v>
                </c:pt>
                <c:pt idx="13">
                  <c:v>9100000</c:v>
                </c:pt>
                <c:pt idx="14">
                  <c:v>9750000</c:v>
                </c:pt>
                <c:pt idx="15">
                  <c:v>10400000</c:v>
                </c:pt>
                <c:pt idx="16">
                  <c:v>11050000</c:v>
                </c:pt>
                <c:pt idx="17">
                  <c:v>11700000</c:v>
                </c:pt>
                <c:pt idx="18">
                  <c:v>12350000</c:v>
                </c:pt>
                <c:pt idx="19">
                  <c:v>13000000</c:v>
                </c:pt>
              </c:numCache>
            </c:numRef>
          </c:xVal>
          <c:yVal>
            <c:numRef>
              <c:f>'H2'!$AC$45:$AC$80</c:f>
              <c:numCache>
                <c:formatCode>General</c:formatCode>
                <c:ptCount val="36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  <c:pt idx="12">
                  <c:v>22.266210252077713</c:v>
                </c:pt>
                <c:pt idx="13">
                  <c:v>-4.1196596272707211</c:v>
                </c:pt>
                <c:pt idx="14">
                  <c:v>-30.505529506619496</c:v>
                </c:pt>
                <c:pt idx="15">
                  <c:v>-56.891399385967816</c:v>
                </c:pt>
                <c:pt idx="16">
                  <c:v>-3.1078647075032677</c:v>
                </c:pt>
                <c:pt idx="17">
                  <c:v>68.231432864369481</c:v>
                </c:pt>
                <c:pt idx="18">
                  <c:v>139.57073043624223</c:v>
                </c:pt>
                <c:pt idx="19">
                  <c:v>210.91002800811486</c:v>
                </c:pt>
                <c:pt idx="20">
                  <c:v>-184.63954342058764</c:v>
                </c:pt>
                <c:pt idx="21">
                  <c:v>-123.3597775632968</c:v>
                </c:pt>
                <c:pt idx="22">
                  <c:v>-62.080011706005848</c:v>
                </c:pt>
                <c:pt idx="23">
                  <c:v>-0.80024584871500792</c:v>
                </c:pt>
                <c:pt idx="24">
                  <c:v>-83.27726926531659</c:v>
                </c:pt>
                <c:pt idx="25">
                  <c:v>-109.66313914466491</c:v>
                </c:pt>
                <c:pt idx="26">
                  <c:v>-136.04900902401369</c:v>
                </c:pt>
                <c:pt idx="27">
                  <c:v>-162.43487890336201</c:v>
                </c:pt>
                <c:pt idx="28">
                  <c:v>282.2493255799875</c:v>
                </c:pt>
                <c:pt idx="29">
                  <c:v>353.58862315186025</c:v>
                </c:pt>
                <c:pt idx="30">
                  <c:v>424.927920723733</c:v>
                </c:pt>
                <c:pt idx="31">
                  <c:v>496.26721829560574</c:v>
                </c:pt>
                <c:pt idx="32">
                  <c:v>60.479520008575946</c:v>
                </c:pt>
                <c:pt idx="33">
                  <c:v>121.7592858658669</c:v>
                </c:pt>
                <c:pt idx="34">
                  <c:v>183.03905172315774</c:v>
                </c:pt>
                <c:pt idx="35">
                  <c:v>244.31881758044858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14-4986-B788-B3F364B97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157304"/>
        <c:axId val="780158288"/>
      </c:scatterChart>
      <c:valAx>
        <c:axId val="780157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0158288"/>
        <c:crosses val="autoZero"/>
        <c:crossBetween val="midCat"/>
      </c:valAx>
      <c:valAx>
        <c:axId val="78015828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01573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'H2'!$I$21:$I$56</c:f>
              <c:numCache>
                <c:formatCode>General</c:formatCode>
                <c:ptCount val="36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  <c:pt idx="12">
                  <c:v>13000</c:v>
                </c:pt>
                <c:pt idx="13">
                  <c:v>13000</c:v>
                </c:pt>
                <c:pt idx="14">
                  <c:v>13000</c:v>
                </c:pt>
                <c:pt idx="15">
                  <c:v>13000</c:v>
                </c:pt>
                <c:pt idx="16">
                  <c:v>13000</c:v>
                </c:pt>
                <c:pt idx="17">
                  <c:v>13000</c:v>
                </c:pt>
                <c:pt idx="18">
                  <c:v>13000</c:v>
                </c:pt>
                <c:pt idx="19">
                  <c:v>13000</c:v>
                </c:pt>
              </c:numCache>
            </c:numRef>
          </c:xVal>
          <c:yVal>
            <c:numRef>
              <c:f>'H2'!$AC$45:$AC$80</c:f>
              <c:numCache>
                <c:formatCode>General</c:formatCode>
                <c:ptCount val="36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  <c:pt idx="12">
                  <c:v>22.266210252077713</c:v>
                </c:pt>
                <c:pt idx="13">
                  <c:v>-4.1196596272707211</c:v>
                </c:pt>
                <c:pt idx="14">
                  <c:v>-30.505529506619496</c:v>
                </c:pt>
                <c:pt idx="15">
                  <c:v>-56.891399385967816</c:v>
                </c:pt>
                <c:pt idx="16">
                  <c:v>-3.1078647075032677</c:v>
                </c:pt>
                <c:pt idx="17">
                  <c:v>68.231432864369481</c:v>
                </c:pt>
                <c:pt idx="18">
                  <c:v>139.57073043624223</c:v>
                </c:pt>
                <c:pt idx="19">
                  <c:v>210.91002800811486</c:v>
                </c:pt>
                <c:pt idx="20">
                  <c:v>-184.63954342058764</c:v>
                </c:pt>
                <c:pt idx="21">
                  <c:v>-123.3597775632968</c:v>
                </c:pt>
                <c:pt idx="22">
                  <c:v>-62.080011706005848</c:v>
                </c:pt>
                <c:pt idx="23">
                  <c:v>-0.80024584871500792</c:v>
                </c:pt>
                <c:pt idx="24">
                  <c:v>-83.27726926531659</c:v>
                </c:pt>
                <c:pt idx="25">
                  <c:v>-109.66313914466491</c:v>
                </c:pt>
                <c:pt idx="26">
                  <c:v>-136.04900902401369</c:v>
                </c:pt>
                <c:pt idx="27">
                  <c:v>-162.43487890336201</c:v>
                </c:pt>
                <c:pt idx="28">
                  <c:v>282.2493255799875</c:v>
                </c:pt>
                <c:pt idx="29">
                  <c:v>353.58862315186025</c:v>
                </c:pt>
                <c:pt idx="30">
                  <c:v>424.927920723733</c:v>
                </c:pt>
                <c:pt idx="31">
                  <c:v>496.26721829560574</c:v>
                </c:pt>
                <c:pt idx="32">
                  <c:v>60.479520008575946</c:v>
                </c:pt>
                <c:pt idx="33">
                  <c:v>121.7592858658669</c:v>
                </c:pt>
                <c:pt idx="34">
                  <c:v>183.03905172315774</c:v>
                </c:pt>
                <c:pt idx="35">
                  <c:v>244.31881758044858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79-42C8-935F-531A83072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157960"/>
        <c:axId val="780155008"/>
      </c:scatterChart>
      <c:valAx>
        <c:axId val="780157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80155008"/>
        <c:crosses val="autoZero"/>
        <c:crossBetween val="midCat"/>
      </c:valAx>
      <c:valAx>
        <c:axId val="7801550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78015796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'H2'!$H$21:$H$32</c:f>
              <c:numCache>
                <c:formatCode>General</c:formatCode>
                <c:ptCount val="12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92-45E7-9F13-6FDA6D5A9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53704"/>
        <c:axId val="829656000"/>
      </c:scatterChart>
      <c:valAx>
        <c:axId val="829653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6000"/>
        <c:crosses val="autoZero"/>
        <c:crossBetween val="midCat"/>
      </c:valAx>
      <c:valAx>
        <c:axId val="8296560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37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'H2'!$I$21:$I$32</c:f>
              <c:numCache>
                <c:formatCode>General</c:formatCode>
                <c:ptCount val="12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C1-4CA8-990C-5D3F3E762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51080"/>
        <c:axId val="829652720"/>
      </c:scatterChart>
      <c:valAx>
        <c:axId val="829651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2720"/>
        <c:crosses val="autoZero"/>
        <c:crossBetween val="midCat"/>
      </c:valAx>
      <c:valAx>
        <c:axId val="8296527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108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238125</xdr:colOff>
      <xdr:row>10</xdr:row>
      <xdr:rowOff>180975</xdr:rowOff>
    </xdr:from>
    <xdr:to>
      <xdr:col>41</xdr:col>
      <xdr:colOff>238125</xdr:colOff>
      <xdr:row>21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A52838-EDDB-4C43-8B48-81286BDE3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238125</xdr:colOff>
      <xdr:row>13</xdr:row>
      <xdr:rowOff>0</xdr:rowOff>
    </xdr:from>
    <xdr:to>
      <xdr:col>42</xdr:col>
      <xdr:colOff>238125</xdr:colOff>
      <xdr:row>23</xdr:row>
      <xdr:rowOff>9525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92116B7-40C5-505F-50EB-CEBE92893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238125</xdr:colOff>
      <xdr:row>23</xdr:row>
      <xdr:rowOff>9525</xdr:rowOff>
    </xdr:from>
    <xdr:to>
      <xdr:col>41</xdr:col>
      <xdr:colOff>238125</xdr:colOff>
      <xdr:row>33</xdr:row>
      <xdr:rowOff>9525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AB8D937-7900-A1A4-EE55-7D1208B66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238125</xdr:colOff>
      <xdr:row>25</xdr:row>
      <xdr:rowOff>19050</xdr:rowOff>
    </xdr:from>
    <xdr:to>
      <xdr:col>42</xdr:col>
      <xdr:colOff>238125</xdr:colOff>
      <xdr:row>35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CB49717-9F9A-83DB-9B3D-83DF690FCE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238125</xdr:colOff>
      <xdr:row>39</xdr:row>
      <xdr:rowOff>9525</xdr:rowOff>
    </xdr:from>
    <xdr:to>
      <xdr:col>41</xdr:col>
      <xdr:colOff>238125</xdr:colOff>
      <xdr:row>49</xdr:row>
      <xdr:rowOff>28575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A2B6689-BBE8-BAED-4FF6-30D6455938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238125</xdr:colOff>
      <xdr:row>41</xdr:row>
      <xdr:rowOff>19050</xdr:rowOff>
    </xdr:from>
    <xdr:to>
      <xdr:col>42</xdr:col>
      <xdr:colOff>238125</xdr:colOff>
      <xdr:row>51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F855160-87A3-67E0-014A-0893932D4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238125</xdr:colOff>
      <xdr:row>19</xdr:row>
      <xdr:rowOff>180975</xdr:rowOff>
    </xdr:from>
    <xdr:to>
      <xdr:col>41</xdr:col>
      <xdr:colOff>238125</xdr:colOff>
      <xdr:row>29</xdr:row>
      <xdr:rowOff>180975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5389E6E-F805-C3DC-FF12-B09790EA7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238125</xdr:colOff>
      <xdr:row>21</xdr:row>
      <xdr:rowOff>180975</xdr:rowOff>
    </xdr:from>
    <xdr:to>
      <xdr:col>42</xdr:col>
      <xdr:colOff>238125</xdr:colOff>
      <xdr:row>31</xdr:row>
      <xdr:rowOff>180975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678252-F9A7-A0E5-C5FF-1EE97DD1F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35</xdr:col>
      <xdr:colOff>238125</xdr:colOff>
      <xdr:row>0</xdr:row>
      <xdr:rowOff>180975</xdr:rowOff>
    </xdr:from>
    <xdr:to>
      <xdr:col>41</xdr:col>
      <xdr:colOff>238125</xdr:colOff>
      <xdr:row>11</xdr:row>
      <xdr:rowOff>19050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CFF11C5-719A-3E8D-D435-2B3CA4EA6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36</xdr:col>
      <xdr:colOff>238125</xdr:colOff>
      <xdr:row>3</xdr:row>
      <xdr:rowOff>0</xdr:rowOff>
    </xdr:from>
    <xdr:to>
      <xdr:col>42</xdr:col>
      <xdr:colOff>238125</xdr:colOff>
      <xdr:row>13</xdr:row>
      <xdr:rowOff>19050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B2C124E-D0C4-F84F-09F9-832B4B6CA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5"/>
  <sheetViews>
    <sheetView tabSelected="1" zoomScale="150" workbookViewId="0">
      <selection activeCell="N6" sqref="N6"/>
    </sheetView>
  </sheetViews>
  <sheetFormatPr baseColWidth="10" defaultRowHeight="15" x14ac:dyDescent="0.2"/>
  <sheetData>
    <row r="1" spans="1:20" x14ac:dyDescent="0.2">
      <c r="B1" t="s">
        <v>138</v>
      </c>
      <c r="C1" t="s">
        <v>139</v>
      </c>
      <c r="D1" t="s">
        <v>108</v>
      </c>
      <c r="I1" t="s">
        <v>58</v>
      </c>
      <c r="J1" t="s">
        <v>16</v>
      </c>
      <c r="K1" t="s">
        <v>8</v>
      </c>
      <c r="L1" t="s">
        <v>14</v>
      </c>
      <c r="M1" t="s">
        <v>9</v>
      </c>
    </row>
    <row r="2" spans="1:20" x14ac:dyDescent="0.2">
      <c r="A2" t="s">
        <v>18</v>
      </c>
      <c r="B2" t="s">
        <v>105</v>
      </c>
      <c r="C2" t="s">
        <v>106</v>
      </c>
      <c r="D2" t="s">
        <v>107</v>
      </c>
      <c r="E2" t="s">
        <v>67</v>
      </c>
      <c r="F2" t="s">
        <v>68</v>
      </c>
      <c r="G2" t="s">
        <v>69</v>
      </c>
      <c r="H2" t="s">
        <v>104</v>
      </c>
      <c r="I2" t="s">
        <v>57</v>
      </c>
      <c r="J2" t="s">
        <v>60</v>
      </c>
      <c r="K2" t="s">
        <v>3</v>
      </c>
      <c r="L2" t="s">
        <v>4</v>
      </c>
      <c r="M2" t="s">
        <v>5</v>
      </c>
      <c r="N2" t="s">
        <v>7</v>
      </c>
      <c r="O2" t="s">
        <v>137</v>
      </c>
      <c r="P2" t="s">
        <v>6</v>
      </c>
      <c r="Q2" t="s">
        <v>140</v>
      </c>
      <c r="R2" t="s">
        <v>141</v>
      </c>
      <c r="S2" t="s">
        <v>142</v>
      </c>
      <c r="T2" t="s">
        <v>143</v>
      </c>
    </row>
    <row r="3" spans="1:20" x14ac:dyDescent="0.2">
      <c r="A3" t="s">
        <v>55</v>
      </c>
      <c r="B3">
        <v>450.74154135338341</v>
      </c>
      <c r="C3">
        <v>52996.278195488718</v>
      </c>
      <c r="D3">
        <v>0</v>
      </c>
      <c r="E3">
        <v>0</v>
      </c>
      <c r="F3">
        <v>52996</v>
      </c>
      <c r="G3">
        <v>0</v>
      </c>
      <c r="H3">
        <v>451</v>
      </c>
      <c r="I3">
        <v>6.9999999999999994E-5</v>
      </c>
      <c r="J3">
        <v>1</v>
      </c>
      <c r="K3">
        <v>40</v>
      </c>
      <c r="L3">
        <v>0.34200000000000003</v>
      </c>
      <c r="M3">
        <v>0</v>
      </c>
      <c r="N3">
        <v>2040</v>
      </c>
      <c r="O3">
        <v>2025</v>
      </c>
      <c r="P3" t="s">
        <v>54</v>
      </c>
      <c r="Q3">
        <v>2016</v>
      </c>
      <c r="R3">
        <v>88.666666666666671</v>
      </c>
      <c r="S3">
        <v>121.10833333333333</v>
      </c>
      <c r="T3">
        <v>1.3658834586466164</v>
      </c>
    </row>
    <row r="4" spans="1:20" x14ac:dyDescent="0.2">
      <c r="A4" t="s">
        <v>56</v>
      </c>
      <c r="B4">
        <v>327.81203007518792</v>
      </c>
      <c r="C4">
        <v>165271.89849624058</v>
      </c>
      <c r="D4">
        <v>0</v>
      </c>
      <c r="E4">
        <v>0</v>
      </c>
      <c r="F4">
        <v>165272</v>
      </c>
      <c r="G4">
        <v>0</v>
      </c>
      <c r="H4">
        <v>328</v>
      </c>
      <c r="I4">
        <v>4.0000000000000003E-5</v>
      </c>
      <c r="J4">
        <v>1</v>
      </c>
      <c r="K4">
        <v>40</v>
      </c>
      <c r="L4">
        <v>0.34200000000000003</v>
      </c>
      <c r="M4">
        <v>0</v>
      </c>
      <c r="N4">
        <v>2040</v>
      </c>
      <c r="O4">
        <v>2025</v>
      </c>
      <c r="P4" t="s">
        <v>54</v>
      </c>
      <c r="Q4">
        <v>2016</v>
      </c>
      <c r="R4">
        <v>88.666666666666671</v>
      </c>
      <c r="S4">
        <v>121.10833333333333</v>
      </c>
      <c r="T4">
        <v>1.3658834586466164</v>
      </c>
    </row>
    <row r="5" spans="1:20" x14ac:dyDescent="0.2">
      <c r="A5" t="s">
        <v>59</v>
      </c>
      <c r="B5">
        <v>327812.03007518797</v>
      </c>
      <c r="C5">
        <v>165271898.49624059</v>
      </c>
      <c r="D5">
        <v>0</v>
      </c>
      <c r="E5">
        <v>0</v>
      </c>
      <c r="F5">
        <v>165271898</v>
      </c>
      <c r="G5">
        <v>0</v>
      </c>
      <c r="H5">
        <v>327812</v>
      </c>
      <c r="I5">
        <v>4.0000000000000003E-5</v>
      </c>
      <c r="J5">
        <v>1000</v>
      </c>
      <c r="K5">
        <v>40</v>
      </c>
      <c r="L5">
        <v>0.34200000000000003</v>
      </c>
      <c r="M5">
        <v>0</v>
      </c>
      <c r="N5">
        <v>2040</v>
      </c>
      <c r="O5">
        <v>2025</v>
      </c>
      <c r="P5" t="s">
        <v>54</v>
      </c>
      <c r="Q5">
        <v>2016</v>
      </c>
      <c r="R5">
        <v>88.666666666666671</v>
      </c>
      <c r="S5">
        <v>121.10833333333333</v>
      </c>
      <c r="T5">
        <v>1.3658834586466164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BAA7A-A190-40C3-8275-483C16A74E0D}">
  <sheetPr codeName="Sheet1"/>
  <dimension ref="A1:T8"/>
  <sheetViews>
    <sheetView topLeftCell="B1" zoomScale="141" workbookViewId="0">
      <selection activeCell="L3" sqref="L3"/>
    </sheetView>
  </sheetViews>
  <sheetFormatPr baseColWidth="10" defaultColWidth="8.83203125" defaultRowHeight="15" x14ac:dyDescent="0.2"/>
  <cols>
    <col min="1" max="1" width="29" bestFit="1" customWidth="1"/>
    <col min="2" max="2" width="17.83203125" bestFit="1" customWidth="1"/>
    <col min="3" max="10" width="17.83203125" customWidth="1"/>
    <col min="11" max="11" width="10.6640625" bestFit="1" customWidth="1"/>
    <col min="12" max="12" width="22.33203125" bestFit="1" customWidth="1"/>
    <col min="13" max="13" width="16" bestFit="1" customWidth="1"/>
    <col min="14" max="14" width="7.1640625" bestFit="1" customWidth="1"/>
    <col min="15" max="15" width="7.1640625" customWidth="1"/>
    <col min="16" max="16" width="9.33203125" bestFit="1" customWidth="1"/>
    <col min="17" max="17" width="25.6640625" bestFit="1" customWidth="1"/>
    <col min="18" max="19" width="16.5" customWidth="1"/>
    <col min="20" max="20" width="75.33203125" bestFit="1" customWidth="1"/>
    <col min="21" max="21" width="60.5" bestFit="1" customWidth="1"/>
    <col min="22" max="22" width="59.33203125" bestFit="1" customWidth="1"/>
    <col min="23" max="24" width="51.1640625" bestFit="1" customWidth="1"/>
    <col min="25" max="25" width="50.5" bestFit="1" customWidth="1"/>
    <col min="26" max="27" width="51.1640625" bestFit="1" customWidth="1"/>
    <col min="28" max="28" width="58.6640625" bestFit="1" customWidth="1"/>
    <col min="29" max="30" width="55.1640625" bestFit="1" customWidth="1"/>
    <col min="31" max="31" width="58.33203125" bestFit="1" customWidth="1"/>
    <col min="32" max="33" width="65.5" bestFit="1" customWidth="1"/>
    <col min="34" max="35" width="51.33203125" bestFit="1" customWidth="1"/>
    <col min="36" max="36" width="50.6640625" bestFit="1" customWidth="1"/>
    <col min="37" max="38" width="51.33203125" bestFit="1" customWidth="1"/>
    <col min="39" max="39" width="58.33203125" bestFit="1" customWidth="1"/>
    <col min="40" max="40" width="48.33203125" bestFit="1" customWidth="1"/>
    <col min="41" max="41" width="55.5" bestFit="1" customWidth="1"/>
    <col min="42" max="42" width="49.1640625" bestFit="1" customWidth="1"/>
    <col min="43" max="43" width="45.83203125" bestFit="1" customWidth="1"/>
    <col min="44" max="44" width="76.5" bestFit="1" customWidth="1"/>
    <col min="45" max="45" width="72.83203125" bestFit="1" customWidth="1"/>
    <col min="46" max="46" width="80" bestFit="1" customWidth="1"/>
    <col min="47" max="47" width="64.1640625" bestFit="1" customWidth="1"/>
    <col min="48" max="48" width="57.6640625" bestFit="1" customWidth="1"/>
    <col min="49" max="49" width="51.5" bestFit="1" customWidth="1"/>
    <col min="50" max="50" width="60" bestFit="1" customWidth="1"/>
    <col min="51" max="51" width="55.5" bestFit="1" customWidth="1"/>
    <col min="52" max="52" width="49.1640625" bestFit="1" customWidth="1"/>
    <col min="53" max="53" width="56.33203125" bestFit="1" customWidth="1"/>
    <col min="54" max="54" width="49.5" bestFit="1" customWidth="1"/>
    <col min="55" max="55" width="56.5" bestFit="1" customWidth="1"/>
    <col min="56" max="56" width="73" bestFit="1" customWidth="1"/>
    <col min="57" max="57" width="81.1640625" bestFit="1" customWidth="1"/>
    <col min="58" max="58" width="91.5" bestFit="1" customWidth="1"/>
    <col min="59" max="59" width="65.5" bestFit="1" customWidth="1"/>
    <col min="60" max="60" width="59.5" bestFit="1" customWidth="1"/>
    <col min="61" max="61" width="77.5" bestFit="1" customWidth="1"/>
    <col min="62" max="62" width="48.5" bestFit="1" customWidth="1"/>
    <col min="63" max="63" width="63.33203125" bestFit="1" customWidth="1"/>
    <col min="64" max="64" width="11.33203125" bestFit="1" customWidth="1"/>
    <col min="65" max="65" width="48.83203125" bestFit="1" customWidth="1"/>
    <col min="66" max="66" width="39.6640625" bestFit="1" customWidth="1"/>
    <col min="67" max="67" width="38" bestFit="1" customWidth="1"/>
    <col min="68" max="68" width="14.5" bestFit="1" customWidth="1"/>
    <col min="69" max="69" width="26" bestFit="1" customWidth="1"/>
    <col min="70" max="70" width="22.6640625" bestFit="1" customWidth="1"/>
    <col min="71" max="71" width="42.6640625" bestFit="1" customWidth="1"/>
    <col min="72" max="72" width="27.83203125" bestFit="1" customWidth="1"/>
    <col min="73" max="73" width="53.5" bestFit="1" customWidth="1"/>
    <col min="74" max="74" width="25.5" bestFit="1" customWidth="1"/>
    <col min="75" max="75" width="38.83203125" bestFit="1" customWidth="1"/>
    <col min="76" max="76" width="12.33203125" bestFit="1" customWidth="1"/>
    <col min="77" max="77" width="10.6640625" bestFit="1" customWidth="1"/>
    <col min="78" max="78" width="52.6640625" bestFit="1" customWidth="1"/>
    <col min="79" max="80" width="46.33203125" bestFit="1" customWidth="1"/>
    <col min="81" max="81" width="45.5" bestFit="1" customWidth="1"/>
    <col min="82" max="82" width="42.5" bestFit="1" customWidth="1"/>
    <col min="83" max="84" width="46.33203125" bestFit="1" customWidth="1"/>
    <col min="85" max="85" width="53.33203125" bestFit="1" customWidth="1"/>
    <col min="86" max="86" width="51.6640625" bestFit="1" customWidth="1"/>
    <col min="87" max="87" width="75.33203125" bestFit="1" customWidth="1"/>
    <col min="88" max="88" width="60.5" bestFit="1" customWidth="1"/>
    <col min="89" max="89" width="59.33203125" bestFit="1" customWidth="1"/>
    <col min="90" max="91" width="51.1640625" bestFit="1" customWidth="1"/>
    <col min="92" max="92" width="50.5" bestFit="1" customWidth="1"/>
    <col min="93" max="94" width="51.1640625" bestFit="1" customWidth="1"/>
    <col min="95" max="95" width="58.6640625" bestFit="1" customWidth="1"/>
    <col min="96" max="97" width="55.1640625" bestFit="1" customWidth="1"/>
    <col min="98" max="98" width="58.33203125" bestFit="1" customWidth="1"/>
    <col min="99" max="100" width="65.5" bestFit="1" customWidth="1"/>
    <col min="101" max="102" width="51.33203125" bestFit="1" customWidth="1"/>
    <col min="103" max="103" width="50.6640625" bestFit="1" customWidth="1"/>
    <col min="104" max="105" width="51.33203125" bestFit="1" customWidth="1"/>
    <col min="106" max="106" width="58.33203125" bestFit="1" customWidth="1"/>
    <col min="107" max="107" width="48.33203125" bestFit="1" customWidth="1"/>
    <col min="108" max="108" width="55.5" bestFit="1" customWidth="1"/>
    <col min="109" max="109" width="49.1640625" bestFit="1" customWidth="1"/>
    <col min="110" max="110" width="45.83203125" bestFit="1" customWidth="1"/>
    <col min="111" max="111" width="76.5" bestFit="1" customWidth="1"/>
    <col min="112" max="112" width="72.83203125" bestFit="1" customWidth="1"/>
    <col min="113" max="113" width="80" bestFit="1" customWidth="1"/>
    <col min="114" max="114" width="64.1640625" bestFit="1" customWidth="1"/>
    <col min="115" max="115" width="57.6640625" bestFit="1" customWidth="1"/>
    <col min="116" max="116" width="51.5" bestFit="1" customWidth="1"/>
    <col min="117" max="117" width="60" bestFit="1" customWidth="1"/>
    <col min="118" max="118" width="55.5" bestFit="1" customWidth="1"/>
    <col min="119" max="119" width="49.1640625" bestFit="1" customWidth="1"/>
    <col min="120" max="120" width="56.33203125" bestFit="1" customWidth="1"/>
    <col min="121" max="121" width="49.5" bestFit="1" customWidth="1"/>
    <col min="122" max="122" width="56.5" bestFit="1" customWidth="1"/>
    <col min="123" max="123" width="73" bestFit="1" customWidth="1"/>
    <col min="124" max="124" width="81.1640625" bestFit="1" customWidth="1"/>
    <col min="125" max="125" width="91.5" bestFit="1" customWidth="1"/>
    <col min="126" max="126" width="65.5" bestFit="1" customWidth="1"/>
    <col min="127" max="127" width="59.5" bestFit="1" customWidth="1"/>
    <col min="128" max="128" width="77.5" bestFit="1" customWidth="1"/>
    <col min="129" max="129" width="48.5" bestFit="1" customWidth="1"/>
    <col min="130" max="130" width="63.33203125" bestFit="1" customWidth="1"/>
    <col min="131" max="131" width="39" bestFit="1" customWidth="1"/>
    <col min="132" max="132" width="12.5" bestFit="1" customWidth="1"/>
    <col min="133" max="133" width="10.83203125" bestFit="1" customWidth="1"/>
    <col min="134" max="134" width="24.5" bestFit="1" customWidth="1"/>
    <col min="135" max="135" width="26.5" bestFit="1" customWidth="1"/>
    <col min="136" max="136" width="44.1640625" bestFit="1" customWidth="1"/>
    <col min="137" max="137" width="40.6640625" bestFit="1" customWidth="1"/>
    <col min="138" max="138" width="16.1640625" bestFit="1" customWidth="1"/>
    <col min="139" max="139" width="46.83203125" bestFit="1" customWidth="1"/>
    <col min="140" max="140" width="47.1640625" bestFit="1" customWidth="1"/>
    <col min="141" max="141" width="57.33203125" bestFit="1" customWidth="1"/>
    <col min="142" max="142" width="30.83203125" bestFit="1" customWidth="1"/>
    <col min="143" max="143" width="71.5" bestFit="1" customWidth="1"/>
    <col min="144" max="144" width="45.83203125" bestFit="1" customWidth="1"/>
    <col min="145" max="145" width="32.5" bestFit="1" customWidth="1"/>
    <col min="146" max="146" width="18.33203125" bestFit="1" customWidth="1"/>
    <col min="147" max="147" width="70.5" bestFit="1" customWidth="1"/>
    <col min="148" max="148" width="45" bestFit="1" customWidth="1"/>
    <col min="149" max="149" width="31" bestFit="1" customWidth="1"/>
    <col min="150" max="150" width="29.5" bestFit="1" customWidth="1"/>
    <col min="151" max="151" width="55.1640625" bestFit="1" customWidth="1"/>
    <col min="152" max="152" width="11.83203125" bestFit="1" customWidth="1"/>
    <col min="153" max="153" width="61" bestFit="1" customWidth="1"/>
    <col min="154" max="154" width="42.1640625" bestFit="1" customWidth="1"/>
    <col min="155" max="156" width="34.5" bestFit="1" customWidth="1"/>
    <col min="157" max="157" width="37.5" bestFit="1" customWidth="1"/>
    <col min="158" max="158" width="33.83203125" bestFit="1" customWidth="1"/>
    <col min="159" max="159" width="24" bestFit="1" customWidth="1"/>
    <col min="160" max="162" width="36.5" bestFit="1" customWidth="1"/>
    <col min="163" max="163" width="12.83203125" bestFit="1" customWidth="1"/>
    <col min="164" max="164" width="23.83203125" bestFit="1" customWidth="1"/>
    <col min="165" max="165" width="18.83203125" bestFit="1" customWidth="1"/>
    <col min="166" max="166" width="35.33203125" bestFit="1" customWidth="1"/>
    <col min="167" max="169" width="39.83203125" bestFit="1" customWidth="1"/>
    <col min="170" max="170" width="39.33203125" bestFit="1" customWidth="1"/>
    <col min="171" max="172" width="39.83203125" bestFit="1" customWidth="1"/>
    <col min="173" max="174" width="65.5" bestFit="1" customWidth="1"/>
    <col min="175" max="175" width="47.83203125" bestFit="1" customWidth="1"/>
    <col min="176" max="176" width="42.83203125" bestFit="1" customWidth="1"/>
    <col min="177" max="177" width="47.83203125" bestFit="1" customWidth="1"/>
    <col min="178" max="178" width="45" bestFit="1" customWidth="1"/>
    <col min="179" max="179" width="40" bestFit="1" customWidth="1"/>
    <col min="180" max="180" width="45" bestFit="1" customWidth="1"/>
    <col min="181" max="181" width="52.33203125" bestFit="1" customWidth="1"/>
    <col min="182" max="182" width="25.83203125" bestFit="1" customWidth="1"/>
    <col min="183" max="183" width="11.33203125" bestFit="1" customWidth="1"/>
  </cols>
  <sheetData>
    <row r="1" spans="1:20" x14ac:dyDescent="0.2">
      <c r="B1" t="s">
        <v>17</v>
      </c>
      <c r="C1" t="s">
        <v>12</v>
      </c>
      <c r="D1" t="s">
        <v>108</v>
      </c>
      <c r="I1" t="s">
        <v>58</v>
      </c>
      <c r="J1" t="s">
        <v>16</v>
      </c>
      <c r="K1" t="s">
        <v>8</v>
      </c>
      <c r="L1" t="s">
        <v>14</v>
      </c>
      <c r="M1" t="s">
        <v>9</v>
      </c>
    </row>
    <row r="2" spans="1:20" x14ac:dyDescent="0.2">
      <c r="A2" t="s">
        <v>18</v>
      </c>
      <c r="B2" t="s">
        <v>105</v>
      </c>
      <c r="C2" t="s">
        <v>106</v>
      </c>
      <c r="D2" t="s">
        <v>107</v>
      </c>
      <c r="E2" t="s">
        <v>67</v>
      </c>
      <c r="F2" t="s">
        <v>68</v>
      </c>
      <c r="G2" t="s">
        <v>69</v>
      </c>
      <c r="H2" t="s">
        <v>104</v>
      </c>
      <c r="I2" t="s">
        <v>57</v>
      </c>
      <c r="J2" t="s">
        <v>60</v>
      </c>
      <c r="K2" t="s">
        <v>3</v>
      </c>
      <c r="L2" t="s">
        <v>4</v>
      </c>
      <c r="M2" t="s">
        <v>5</v>
      </c>
      <c r="N2" t="s">
        <v>7</v>
      </c>
      <c r="O2" t="s">
        <v>137</v>
      </c>
      <c r="P2" t="s">
        <v>6</v>
      </c>
      <c r="Q2" t="s">
        <v>15</v>
      </c>
      <c r="R2" t="s">
        <v>13</v>
      </c>
      <c r="S2" t="s">
        <v>2</v>
      </c>
      <c r="T2" t="s">
        <v>103</v>
      </c>
    </row>
    <row r="3" spans="1:20" x14ac:dyDescent="0.2">
      <c r="A3" t="s">
        <v>55</v>
      </c>
      <c r="B3">
        <v>330</v>
      </c>
      <c r="C3">
        <v>38800</v>
      </c>
      <c r="D3">
        <v>0</v>
      </c>
      <c r="E3" s="10">
        <v>0</v>
      </c>
      <c r="F3" s="10">
        <f t="shared" ref="F3:G5" si="0">ROUND(C3*$T3,0)</f>
        <v>43695</v>
      </c>
      <c r="G3" s="10">
        <f t="shared" si="0"/>
        <v>0</v>
      </c>
      <c r="H3" s="10">
        <f>ROUND(B3*$T3,0)</f>
        <v>372</v>
      </c>
      <c r="I3" s="6">
        <f>0.7%/100</f>
        <v>6.9999999999999994E-5</v>
      </c>
      <c r="J3">
        <v>1</v>
      </c>
      <c r="K3">
        <v>40</v>
      </c>
      <c r="L3" s="5">
        <v>3.5000000000000003E-2</v>
      </c>
      <c r="M3">
        <v>0</v>
      </c>
      <c r="N3">
        <v>2030</v>
      </c>
      <c r="O3">
        <v>2016</v>
      </c>
      <c r="P3" t="s">
        <v>54</v>
      </c>
      <c r="S3">
        <v>0.1</v>
      </c>
      <c r="T3">
        <f>1.02^6</f>
        <v>1.1261624192640001</v>
      </c>
    </row>
    <row r="4" spans="1:20" x14ac:dyDescent="0.2">
      <c r="A4" t="s">
        <v>56</v>
      </c>
      <c r="B4">
        <v>240</v>
      </c>
      <c r="C4">
        <v>121000</v>
      </c>
      <c r="D4">
        <v>0</v>
      </c>
      <c r="E4" s="10">
        <v>0</v>
      </c>
      <c r="F4" s="10">
        <f t="shared" si="0"/>
        <v>136266</v>
      </c>
      <c r="G4" s="10">
        <f t="shared" si="0"/>
        <v>0</v>
      </c>
      <c r="H4" s="10">
        <f>ROUND(B4*$T4,0)</f>
        <v>270</v>
      </c>
      <c r="I4" s="6">
        <f>0.4%/100</f>
        <v>4.0000000000000003E-5</v>
      </c>
      <c r="J4">
        <v>1</v>
      </c>
      <c r="K4">
        <v>40</v>
      </c>
      <c r="L4" s="5">
        <v>3.5000000000000003E-2</v>
      </c>
      <c r="M4">
        <v>0</v>
      </c>
      <c r="N4">
        <v>2030</v>
      </c>
      <c r="O4">
        <v>2016</v>
      </c>
      <c r="P4" t="s">
        <v>54</v>
      </c>
      <c r="S4">
        <v>0.1</v>
      </c>
      <c r="T4">
        <f>1.02^6</f>
        <v>1.1261624192640001</v>
      </c>
    </row>
    <row r="5" spans="1:20" x14ac:dyDescent="0.2">
      <c r="A5" t="s">
        <v>59</v>
      </c>
      <c r="B5">
        <f>B4*J5</f>
        <v>240000</v>
      </c>
      <c r="C5">
        <f>C4*J5</f>
        <v>121000000</v>
      </c>
      <c r="D5">
        <v>0</v>
      </c>
      <c r="E5" s="10">
        <v>0</v>
      </c>
      <c r="F5" s="10">
        <f t="shared" si="0"/>
        <v>136265653</v>
      </c>
      <c r="G5" s="10">
        <f t="shared" si="0"/>
        <v>0</v>
      </c>
      <c r="H5" s="10">
        <f>ROUND(B5*$T5,0)</f>
        <v>270279</v>
      </c>
      <c r="I5" s="6">
        <f>0.4%/100</f>
        <v>4.0000000000000003E-5</v>
      </c>
      <c r="J5">
        <v>1000</v>
      </c>
      <c r="K5">
        <v>40</v>
      </c>
      <c r="L5" s="5">
        <v>3.5000000000000003E-2</v>
      </c>
      <c r="M5">
        <v>0</v>
      </c>
      <c r="N5">
        <v>2030</v>
      </c>
      <c r="O5">
        <v>2016</v>
      </c>
      <c r="P5" t="s">
        <v>54</v>
      </c>
      <c r="S5">
        <v>0.1</v>
      </c>
      <c r="T5">
        <f>1.02^6</f>
        <v>1.1261624192640001</v>
      </c>
    </row>
    <row r="6" spans="1:20" x14ac:dyDescent="0.2">
      <c r="A6" t="s">
        <v>130</v>
      </c>
      <c r="E6" s="10">
        <f>'H2'!B16</f>
        <v>337045654.09746808</v>
      </c>
      <c r="F6" s="10">
        <f>'H2'!C16</f>
        <v>-33086.598776513507</v>
      </c>
      <c r="G6" s="10">
        <f>'H2'!D16</f>
        <v>0</v>
      </c>
      <c r="H6" s="10">
        <f>'H2'!E16</f>
        <v>513.99989612008517</v>
      </c>
      <c r="I6">
        <f>0.4%/100</f>
        <v>4.0000000000000003E-5</v>
      </c>
      <c r="J6">
        <v>1</v>
      </c>
      <c r="K6">
        <v>50</v>
      </c>
      <c r="L6">
        <v>3.5000000000000003E-2</v>
      </c>
      <c r="M6">
        <v>0</v>
      </c>
      <c r="N6">
        <v>2030</v>
      </c>
      <c r="P6" t="s">
        <v>129</v>
      </c>
    </row>
    <row r="7" spans="1:20" x14ac:dyDescent="0.2">
      <c r="A7" t="s">
        <v>131</v>
      </c>
      <c r="E7" s="10">
        <f>'H2'!B15</f>
        <v>198262149.46909887</v>
      </c>
      <c r="F7" s="10">
        <f>'H2'!C15</f>
        <v>-19462.705162655006</v>
      </c>
      <c r="G7" s="10">
        <f>'H2'!D15</f>
        <v>0</v>
      </c>
      <c r="H7" s="10">
        <f>'H2'!E15</f>
        <v>302.35288007063832</v>
      </c>
      <c r="I7">
        <f>0.4%/100</f>
        <v>4.0000000000000003E-5</v>
      </c>
      <c r="J7">
        <v>1</v>
      </c>
      <c r="K7">
        <v>50</v>
      </c>
      <c r="L7">
        <v>3.5000000000000003E-2</v>
      </c>
      <c r="M7">
        <v>0</v>
      </c>
      <c r="N7">
        <v>2030</v>
      </c>
      <c r="P7" t="s">
        <v>129</v>
      </c>
    </row>
    <row r="8" spans="1:20" x14ac:dyDescent="0.2">
      <c r="A8" t="s">
        <v>132</v>
      </c>
      <c r="E8" s="10">
        <f>'H2'!B14</f>
        <v>39567835.104559466</v>
      </c>
      <c r="F8" s="10">
        <f>'H2'!C14</f>
        <v>-3840.2806153825454</v>
      </c>
      <c r="G8" s="10">
        <f>'H2'!D14</f>
        <v>0</v>
      </c>
      <c r="H8" s="10">
        <f>'H2'!E14</f>
        <v>92.540894220283576</v>
      </c>
      <c r="I8">
        <f>0.4%/100</f>
        <v>4.0000000000000003E-5</v>
      </c>
      <c r="J8">
        <v>1</v>
      </c>
      <c r="K8">
        <v>50</v>
      </c>
      <c r="L8">
        <v>3.5000000000000003E-2</v>
      </c>
      <c r="M8">
        <v>0</v>
      </c>
      <c r="N8">
        <v>2030</v>
      </c>
      <c r="P8" t="s">
        <v>129</v>
      </c>
    </row>
  </sheetData>
  <autoFilter ref="A2:S2" xr:uid="{2A4BAA7A-A190-40C3-8275-483C16A74E0D}"/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F240E-8503-41E7-B90B-86BA10EB15EF}">
  <sheetPr codeName="Sheet2"/>
  <dimension ref="A1:S20"/>
  <sheetViews>
    <sheetView workbookViewId="0">
      <selection activeCell="I19" sqref="I19"/>
    </sheetView>
  </sheetViews>
  <sheetFormatPr baseColWidth="10" defaultColWidth="8.83203125" defaultRowHeight="15" x14ac:dyDescent="0.2"/>
  <cols>
    <col min="1" max="1" width="12.5" bestFit="1" customWidth="1"/>
    <col min="2" max="2" width="12.5" customWidth="1"/>
  </cols>
  <sheetData>
    <row r="1" spans="1:19" x14ac:dyDescent="0.2">
      <c r="C1" t="s">
        <v>109</v>
      </c>
      <c r="D1" t="s">
        <v>110</v>
      </c>
    </row>
    <row r="2" spans="1:19" x14ac:dyDescent="0.2">
      <c r="A2" t="s">
        <v>67</v>
      </c>
      <c r="B2" t="s">
        <v>111</v>
      </c>
      <c r="C2">
        <v>0</v>
      </c>
      <c r="D2">
        <v>0</v>
      </c>
      <c r="E2">
        <v>337045.65409746807</v>
      </c>
      <c r="F2">
        <v>198262.14946909886</v>
      </c>
      <c r="G2">
        <v>39567.835104559468</v>
      </c>
      <c r="I2" t="s">
        <v>67</v>
      </c>
      <c r="J2" t="s">
        <v>111</v>
      </c>
      <c r="K2">
        <f>ROUND(C2,2)</f>
        <v>0</v>
      </c>
      <c r="L2">
        <f t="shared" ref="L2:O2" si="0">ROUND(D2,2)</f>
        <v>0</v>
      </c>
      <c r="M2">
        <f t="shared" si="0"/>
        <v>337045.65</v>
      </c>
      <c r="N2">
        <f t="shared" si="0"/>
        <v>198262.15</v>
      </c>
      <c r="O2">
        <f t="shared" si="0"/>
        <v>39567.839999999997</v>
      </c>
      <c r="S2" t="str">
        <f>_xlfn.TEXTJOIN(" &amp; ",FALSE,I2:O2)&amp;"\\"</f>
        <v>gamma1 &amp; [kEUR] &amp; 0 &amp; 0 &amp; 337045.65 &amp; 198262.15 &amp; 39567.84\\</v>
      </c>
    </row>
    <row r="3" spans="1:19" x14ac:dyDescent="0.2">
      <c r="A3" t="s">
        <v>68</v>
      </c>
      <c r="B3" t="s">
        <v>112</v>
      </c>
      <c r="C3">
        <v>43.695</v>
      </c>
      <c r="D3">
        <v>68.132826499999993</v>
      </c>
      <c r="E3">
        <v>-33.086598776513505</v>
      </c>
      <c r="F3">
        <v>-19.462705162655006</v>
      </c>
      <c r="G3">
        <v>-3.8402806153825453</v>
      </c>
      <c r="I3" t="s">
        <v>68</v>
      </c>
      <c r="J3" t="s">
        <v>112</v>
      </c>
      <c r="K3">
        <f t="shared" ref="K3:K9" si="1">ROUND(C3,2)</f>
        <v>43.7</v>
      </c>
      <c r="L3">
        <f t="shared" ref="L3:L9" si="2">ROUND(D3,2)</f>
        <v>68.13</v>
      </c>
      <c r="M3">
        <f t="shared" ref="M3:M9" si="3">ROUND(E3,2)</f>
        <v>-33.090000000000003</v>
      </c>
      <c r="N3">
        <f t="shared" ref="N3:N9" si="4">ROUND(F3,2)</f>
        <v>-19.46</v>
      </c>
      <c r="O3">
        <f t="shared" ref="O3:O9" si="5">ROUND(G3,2)</f>
        <v>-3.84</v>
      </c>
      <c r="S3" t="str">
        <f t="shared" ref="S3:S10" si="6">_xlfn.TEXTJOIN(" &amp; ",FALSE,I3:O3)&amp;"\\"</f>
        <v>gamma2 &amp; [kEUR/MW] &amp; 43.7 &amp; 68.13 &amp; -33.09 &amp; -19.46 &amp; -3.84\\</v>
      </c>
    </row>
    <row r="4" spans="1:19" x14ac:dyDescent="0.2">
      <c r="A4" t="s">
        <v>69</v>
      </c>
      <c r="B4" t="s">
        <v>113</v>
      </c>
      <c r="C4">
        <v>0</v>
      </c>
      <c r="D4">
        <v>0</v>
      </c>
      <c r="E4">
        <v>0</v>
      </c>
      <c r="F4">
        <v>0</v>
      </c>
      <c r="G4">
        <v>0</v>
      </c>
      <c r="I4" t="s">
        <v>69</v>
      </c>
      <c r="J4" t="s">
        <v>113</v>
      </c>
      <c r="K4">
        <f t="shared" si="1"/>
        <v>0</v>
      </c>
      <c r="L4">
        <f t="shared" si="2"/>
        <v>0</v>
      </c>
      <c r="M4">
        <f t="shared" si="3"/>
        <v>0</v>
      </c>
      <c r="N4">
        <f t="shared" si="4"/>
        <v>0</v>
      </c>
      <c r="O4">
        <f t="shared" si="5"/>
        <v>0</v>
      </c>
      <c r="S4" t="str">
        <f t="shared" si="6"/>
        <v>gamma3 &amp; [kEUR/km] &amp; 0 &amp; 0 &amp; 0 &amp; 0 &amp; 0\\</v>
      </c>
    </row>
    <row r="5" spans="1:19" x14ac:dyDescent="0.2">
      <c r="A5" t="s">
        <v>104</v>
      </c>
      <c r="B5" t="s">
        <v>114</v>
      </c>
      <c r="C5">
        <v>0.372</v>
      </c>
      <c r="D5">
        <v>0.1351395</v>
      </c>
      <c r="E5">
        <v>0.51399989612008512</v>
      </c>
      <c r="F5">
        <v>0.30235288007063832</v>
      </c>
      <c r="G5">
        <v>9.2540894220283582E-2</v>
      </c>
      <c r="I5" t="s">
        <v>104</v>
      </c>
      <c r="J5" t="s">
        <v>114</v>
      </c>
      <c r="K5">
        <f t="shared" si="1"/>
        <v>0.37</v>
      </c>
      <c r="L5">
        <f t="shared" si="2"/>
        <v>0.14000000000000001</v>
      </c>
      <c r="M5">
        <f t="shared" si="3"/>
        <v>0.51</v>
      </c>
      <c r="N5">
        <f t="shared" si="4"/>
        <v>0.3</v>
      </c>
      <c r="O5">
        <f t="shared" si="5"/>
        <v>0.09</v>
      </c>
      <c r="S5" t="str">
        <f t="shared" si="6"/>
        <v>gamma4 &amp; [kEUR/km/MW] &amp; 0.37 &amp; 0.14 &amp; 0.51 &amp; 0.3 &amp; 0.09\\</v>
      </c>
    </row>
    <row r="6" spans="1:19" x14ac:dyDescent="0.2">
      <c r="A6" t="s">
        <v>60</v>
      </c>
      <c r="B6" t="s">
        <v>115</v>
      </c>
      <c r="C6">
        <v>1</v>
      </c>
      <c r="D6">
        <v>2000</v>
      </c>
      <c r="E6">
        <v>1</v>
      </c>
      <c r="F6">
        <v>1</v>
      </c>
      <c r="G6">
        <v>1</v>
      </c>
      <c r="I6" t="s">
        <v>60</v>
      </c>
      <c r="J6" t="s">
        <v>115</v>
      </c>
      <c r="K6">
        <f t="shared" si="1"/>
        <v>1</v>
      </c>
      <c r="L6">
        <f t="shared" si="2"/>
        <v>2000</v>
      </c>
      <c r="M6">
        <f t="shared" si="3"/>
        <v>1</v>
      </c>
      <c r="N6">
        <f t="shared" si="4"/>
        <v>1</v>
      </c>
      <c r="O6">
        <f t="shared" si="5"/>
        <v>1</v>
      </c>
      <c r="S6" t="str">
        <f t="shared" si="6"/>
        <v>rated power &amp; [MW] &amp; 1 &amp; 2000 &amp; 1 &amp; 1 &amp; 1\\</v>
      </c>
    </row>
    <row r="7" spans="1:19" x14ac:dyDescent="0.2">
      <c r="A7" t="s">
        <v>3</v>
      </c>
      <c r="B7" t="s">
        <v>116</v>
      </c>
      <c r="C7">
        <v>40</v>
      </c>
      <c r="D7">
        <v>40</v>
      </c>
      <c r="E7">
        <v>50</v>
      </c>
      <c r="F7">
        <v>50</v>
      </c>
      <c r="G7">
        <v>50</v>
      </c>
      <c r="I7" t="s">
        <v>3</v>
      </c>
      <c r="J7" t="s">
        <v>116</v>
      </c>
      <c r="K7">
        <f t="shared" si="1"/>
        <v>40</v>
      </c>
      <c r="L7">
        <f t="shared" si="2"/>
        <v>40</v>
      </c>
      <c r="M7">
        <f t="shared" si="3"/>
        <v>50</v>
      </c>
      <c r="N7">
        <f t="shared" si="4"/>
        <v>50</v>
      </c>
      <c r="O7">
        <f t="shared" si="5"/>
        <v>50</v>
      </c>
      <c r="S7" t="str">
        <f t="shared" si="6"/>
        <v>Lifetime &amp; [a] &amp; 40 &amp; 40 &amp; 50 &amp; 50 &amp; 50\\</v>
      </c>
    </row>
    <row r="8" spans="1:19" x14ac:dyDescent="0.2">
      <c r="A8" t="s">
        <v>4</v>
      </c>
      <c r="B8" t="s">
        <v>118</v>
      </c>
      <c r="C8">
        <v>3.5000000000000003E-2</v>
      </c>
      <c r="D8">
        <v>3.5000000000000003E-2</v>
      </c>
      <c r="E8">
        <v>3.5000000000000003E-2</v>
      </c>
      <c r="F8">
        <v>3.5000000000000003E-2</v>
      </c>
      <c r="G8">
        <v>3.5000000000000003E-2</v>
      </c>
      <c r="I8" t="s">
        <v>4</v>
      </c>
      <c r="J8" t="s">
        <v>118</v>
      </c>
      <c r="K8">
        <f t="shared" si="1"/>
        <v>0.04</v>
      </c>
      <c r="L8">
        <f t="shared" si="2"/>
        <v>0.04</v>
      </c>
      <c r="M8">
        <f t="shared" si="3"/>
        <v>0.04</v>
      </c>
      <c r="N8">
        <f t="shared" si="4"/>
        <v>0.04</v>
      </c>
      <c r="O8">
        <f t="shared" si="5"/>
        <v>0.04</v>
      </c>
      <c r="S8" t="str">
        <f t="shared" si="6"/>
        <v>OPEX Fixed &amp; [\% annual CAPEX] &amp; 0.04 &amp; 0.04 &amp; 0.04 &amp; 0.04 &amp; 0.04\\</v>
      </c>
    </row>
    <row r="9" spans="1:19" x14ac:dyDescent="0.2">
      <c r="A9" t="s">
        <v>5</v>
      </c>
      <c r="B9" t="s">
        <v>117</v>
      </c>
      <c r="C9">
        <v>0</v>
      </c>
      <c r="D9">
        <v>0</v>
      </c>
      <c r="E9">
        <v>0</v>
      </c>
      <c r="F9">
        <v>0</v>
      </c>
      <c r="G9">
        <v>0</v>
      </c>
      <c r="I9" t="s">
        <v>5</v>
      </c>
      <c r="J9" t="s">
        <v>117</v>
      </c>
      <c r="K9">
        <f t="shared" si="1"/>
        <v>0</v>
      </c>
      <c r="L9">
        <f t="shared" si="2"/>
        <v>0</v>
      </c>
      <c r="M9">
        <f t="shared" si="3"/>
        <v>0</v>
      </c>
      <c r="N9">
        <f t="shared" si="4"/>
        <v>0</v>
      </c>
      <c r="O9">
        <f t="shared" si="5"/>
        <v>0</v>
      </c>
      <c r="S9" t="str">
        <f t="shared" si="6"/>
        <v>OPEX Variable &amp; [EUR/MWh] &amp; 0 &amp; 0 &amp; 0 &amp; 0 &amp; 0\\</v>
      </c>
    </row>
    <row r="10" spans="1:19" x14ac:dyDescent="0.2">
      <c r="A10" t="s">
        <v>6</v>
      </c>
      <c r="C10" t="s">
        <v>119</v>
      </c>
      <c r="D10" t="s">
        <v>119</v>
      </c>
      <c r="E10" t="s">
        <v>133</v>
      </c>
      <c r="F10" t="s">
        <v>133</v>
      </c>
      <c r="G10" t="s">
        <v>133</v>
      </c>
      <c r="I10" t="s">
        <v>6</v>
      </c>
      <c r="K10" t="s">
        <v>119</v>
      </c>
      <c r="L10" t="s">
        <v>119</v>
      </c>
      <c r="M10" t="s">
        <v>133</v>
      </c>
      <c r="N10" t="s">
        <v>133</v>
      </c>
      <c r="O10" t="s">
        <v>133</v>
      </c>
      <c r="S10" t="str">
        <f t="shared" si="6"/>
        <v>Source &amp;  &amp; \cite{Zappa2019} &amp; \cite{Zappa2019} &amp; \cite{EHB2022} &amp; \cite{EHB2022} &amp; \cite{EHB2022}\\</v>
      </c>
    </row>
    <row r="12" spans="1:19" x14ac:dyDescent="0.2">
      <c r="B12" t="str">
        <f t="shared" ref="B12:J12" si="7">"\multicolumn{1}{c}{\makecell{"&amp;B14&amp;"}}"</f>
        <v>\multicolumn{1}{c}{\makecell{gamma1}}</v>
      </c>
      <c r="C12" t="str">
        <f t="shared" si="7"/>
        <v>\multicolumn{1}{c}{\makecell{gamma2}}</v>
      </c>
      <c r="D12" t="str">
        <f t="shared" si="7"/>
        <v>\multicolumn{1}{c}{\makecell{gamma3}}</v>
      </c>
      <c r="E12" t="str">
        <f t="shared" si="7"/>
        <v>\multicolumn{1}{c}{\makecell{gamma4}}</v>
      </c>
      <c r="F12" t="str">
        <f t="shared" si="7"/>
        <v>\multicolumn{1}{c}{\makecell{rated power}}</v>
      </c>
      <c r="G12" t="str">
        <f t="shared" si="7"/>
        <v>\multicolumn{1}{c}{\makecell{Lifetime}}</v>
      </c>
      <c r="H12" t="str">
        <f t="shared" si="7"/>
        <v>\multicolumn{1}{c}{\makecell{OPEX Fixed}}</v>
      </c>
      <c r="I12" t="str">
        <f t="shared" si="7"/>
        <v>\multicolumn{1}{c}{\makecell{OPEX Variable}}</v>
      </c>
      <c r="J12" t="str">
        <f t="shared" si="7"/>
        <v>\multicolumn{1}{c}{\makecell{Source}}</v>
      </c>
      <c r="L12" t="str">
        <f t="shared" ref="L12:L13" si="8">_xlfn.TEXTJOIN(" &amp; ",FALSE,A12:J12)&amp;"\\"</f>
        <v xml:space="preserve"> &amp; \multicolumn{1}{c}{\makecell{gamma1}} &amp; \multicolumn{1}{c}{\makecell{gamma2}} &amp; \multicolumn{1}{c}{\makecell{gamma3}} &amp; \multicolumn{1}{c}{\makecell{gamma4}} &amp; \multicolumn{1}{c}{\makecell{rated power}} &amp; \multicolumn{1}{c}{\makecell{Lifetime}} &amp; \multicolumn{1}{c}{\makecell{OPEX Fixed}} &amp; \multicolumn{1}{c}{\makecell{OPEX Variable}} &amp; \multicolumn{1}{c}{\makecell{Source}}\\</v>
      </c>
    </row>
    <row r="13" spans="1:19" x14ac:dyDescent="0.2">
      <c r="B13" t="str">
        <f t="shared" ref="B13:J13" si="9">"\multicolumn{1}{c}{\makecell{"&amp;B15&amp;"}}"</f>
        <v>\multicolumn{1}{c}{\makecell{[kEUR]}}</v>
      </c>
      <c r="C13" t="str">
        <f t="shared" si="9"/>
        <v>\multicolumn{1}{c}{\makecell{[kEUR/MW]}}</v>
      </c>
      <c r="D13" t="str">
        <f t="shared" si="9"/>
        <v>\multicolumn{1}{c}{\makecell{[kEUR/km]}}</v>
      </c>
      <c r="E13" t="str">
        <f t="shared" si="9"/>
        <v>\multicolumn{1}{c}{\makecell{[kEUR/km/MW]}}</v>
      </c>
      <c r="F13" t="str">
        <f t="shared" si="9"/>
        <v>\multicolumn{1}{c}{\makecell{[MW]}}</v>
      </c>
      <c r="G13" t="str">
        <f t="shared" si="9"/>
        <v>\multicolumn{1}{c}{\makecell{[a]}}</v>
      </c>
      <c r="H13" t="str">
        <f t="shared" si="9"/>
        <v>\multicolumn{1}{c}{\makecell{[\% annual CAPEX]}}</v>
      </c>
      <c r="I13" t="str">
        <f t="shared" si="9"/>
        <v>\multicolumn{1}{c}{\makecell{[EUR/MWh]}}</v>
      </c>
      <c r="J13" t="str">
        <f t="shared" si="9"/>
        <v>\multicolumn{1}{c}{\makecell{0}}</v>
      </c>
      <c r="L13" t="str">
        <f t="shared" si="8"/>
        <v xml:space="preserve"> &amp; \multicolumn{1}{c}{\makecell{[kEUR]}} &amp; \multicolumn{1}{c}{\makecell{[kEUR/MW]}} &amp; \multicolumn{1}{c}{\makecell{[kEUR/km]}} &amp; \multicolumn{1}{c}{\makecell{[kEUR/km/MW]}} &amp; \multicolumn{1}{c}{\makecell{[MW]}} &amp; \multicolumn{1}{c}{\makecell{[a]}} &amp; \multicolumn{1}{c}{\makecell{[\% annual CAPEX]}} &amp; \multicolumn{1}{c}{\makecell{[EUR/MWh]}} &amp; \multicolumn{1}{c}{\makecell{0}}\\</v>
      </c>
    </row>
    <row r="14" spans="1:19" x14ac:dyDescent="0.2">
      <c r="B14" t="str" cm="1">
        <f t="array" ref="B14:J20">TRANSPOSE(I2:O10)</f>
        <v>gamma1</v>
      </c>
      <c r="C14" t="str">
        <v>gamma2</v>
      </c>
      <c r="D14" t="str">
        <v>gamma3</v>
      </c>
      <c r="E14" t="str">
        <v>gamma4</v>
      </c>
      <c r="F14" t="str">
        <v>rated power</v>
      </c>
      <c r="G14" t="str">
        <v>Lifetime</v>
      </c>
      <c r="H14" t="str">
        <v>OPEX Fixed</v>
      </c>
      <c r="I14" t="str">
        <v>OPEX Variable</v>
      </c>
      <c r="J14" t="str">
        <v>Source</v>
      </c>
      <c r="L14" t="str">
        <f>_xlfn.TEXTJOIN(" &amp; ",FALSE,A14:J14)&amp;"\\"</f>
        <v xml:space="preserve"> &amp; gamma1 &amp; gamma2 &amp; gamma3 &amp; gamma4 &amp; rated power &amp; Lifetime &amp; OPEX Fixed &amp; OPEX Variable &amp; Source\\</v>
      </c>
    </row>
    <row r="15" spans="1:19" x14ac:dyDescent="0.2">
      <c r="B15" t="str">
        <v>[kEUR]</v>
      </c>
      <c r="C15" t="str">
        <v>[kEUR/MW]</v>
      </c>
      <c r="D15" t="str">
        <v>[kEUR/km]</v>
      </c>
      <c r="E15" t="str">
        <v>[kEUR/km/MW]</v>
      </c>
      <c r="F15" t="str">
        <v>[MW]</v>
      </c>
      <c r="G15" t="str">
        <v>[a]</v>
      </c>
      <c r="H15" t="str">
        <v>[\% annual CAPEX]</v>
      </c>
      <c r="I15" t="str">
        <v>[EUR/MWh]</v>
      </c>
      <c r="J15">
        <v>0</v>
      </c>
      <c r="L15" t="str">
        <f t="shared" ref="L15:L20" si="10">_xlfn.TEXTJOIN(" &amp; ",FALSE,A15:J15)&amp;"\\"</f>
        <v xml:space="preserve"> &amp; [kEUR] &amp; [kEUR/MW] &amp; [kEUR/km] &amp; [kEUR/km/MW] &amp; [MW] &amp; [a] &amp; [\% annual CAPEX] &amp; [EUR/MWh] &amp; 0\\</v>
      </c>
    </row>
    <row r="16" spans="1:19" x14ac:dyDescent="0.2">
      <c r="A16" t="s">
        <v>109</v>
      </c>
      <c r="B16">
        <v>0</v>
      </c>
      <c r="C16">
        <v>43.7</v>
      </c>
      <c r="D16">
        <v>0</v>
      </c>
      <c r="E16">
        <v>0.37</v>
      </c>
      <c r="F16">
        <v>1</v>
      </c>
      <c r="G16">
        <v>40</v>
      </c>
      <c r="H16">
        <v>0.04</v>
      </c>
      <c r="I16">
        <v>0</v>
      </c>
      <c r="J16" t="str">
        <v>\cite{Zappa2019}</v>
      </c>
      <c r="L16" t="str">
        <f t="shared" si="10"/>
        <v>Electricity AC &amp; 0 &amp; 43.7 &amp; 0 &amp; 0.37 &amp; 1 &amp; 40 &amp; 0.04 &amp; 0 &amp; \cite{Zappa2019}\\</v>
      </c>
    </row>
    <row r="17" spans="1:12" x14ac:dyDescent="0.2">
      <c r="A17" t="s">
        <v>110</v>
      </c>
      <c r="B17">
        <v>0</v>
      </c>
      <c r="C17">
        <v>68.13</v>
      </c>
      <c r="D17">
        <v>0</v>
      </c>
      <c r="E17">
        <v>0.14000000000000001</v>
      </c>
      <c r="F17">
        <v>2000</v>
      </c>
      <c r="G17">
        <v>40</v>
      </c>
      <c r="H17">
        <v>0.04</v>
      </c>
      <c r="I17">
        <v>0</v>
      </c>
      <c r="J17" t="str">
        <v>\cite{Zappa2019}</v>
      </c>
      <c r="L17" t="str">
        <f t="shared" si="10"/>
        <v>Electricity DC &amp; 0 &amp; 68.13 &amp; 0 &amp; 0.14 &amp; 2000 &amp; 40 &amp; 0.04 &amp; 0 &amp; \cite{Zappa2019}\\</v>
      </c>
    </row>
    <row r="18" spans="1:12" x14ac:dyDescent="0.2">
      <c r="A18" t="s">
        <v>134</v>
      </c>
      <c r="B18">
        <v>337045.65</v>
      </c>
      <c r="C18">
        <v>-33.090000000000003</v>
      </c>
      <c r="D18">
        <v>0</v>
      </c>
      <c r="E18">
        <v>0.51</v>
      </c>
      <c r="F18">
        <v>1</v>
      </c>
      <c r="G18">
        <v>50</v>
      </c>
      <c r="H18">
        <v>0.04</v>
      </c>
      <c r="I18">
        <v>0</v>
      </c>
      <c r="J18" t="str">
        <v>\cite{EHB2022}</v>
      </c>
      <c r="L18" t="str">
        <f t="shared" si="10"/>
        <v>H2 Pipeline (Offshore) &amp; 337045.65 &amp; -33.09 &amp; 0 &amp; 0.51 &amp; 1 &amp; 50 &amp; 0.04 &amp; 0 &amp; \cite{EHB2022}\\</v>
      </c>
    </row>
    <row r="19" spans="1:12" x14ac:dyDescent="0.2">
      <c r="A19" t="s">
        <v>135</v>
      </c>
      <c r="B19">
        <v>198262.15</v>
      </c>
      <c r="C19">
        <v>-19.46</v>
      </c>
      <c r="D19">
        <v>0</v>
      </c>
      <c r="E19">
        <v>0.3</v>
      </c>
      <c r="F19">
        <v>1</v>
      </c>
      <c r="G19">
        <v>50</v>
      </c>
      <c r="H19">
        <v>0.04</v>
      </c>
      <c r="I19">
        <v>0</v>
      </c>
      <c r="J19" t="str">
        <v>\cite{EHB2022}</v>
      </c>
      <c r="L19" t="str">
        <f t="shared" si="10"/>
        <v>H2 Pipeline (Onshore, new) &amp; 198262.15 &amp; -19.46 &amp; 0 &amp; 0.3 &amp; 1 &amp; 50 &amp; 0.04 &amp; 0 &amp; \cite{EHB2022}\\</v>
      </c>
    </row>
    <row r="20" spans="1:12" x14ac:dyDescent="0.2">
      <c r="A20" t="s">
        <v>136</v>
      </c>
      <c r="B20">
        <v>39567.839999999997</v>
      </c>
      <c r="C20">
        <v>-3.84</v>
      </c>
      <c r="D20">
        <v>0</v>
      </c>
      <c r="E20">
        <v>0.09</v>
      </c>
      <c r="F20">
        <v>1</v>
      </c>
      <c r="G20">
        <v>50</v>
      </c>
      <c r="H20">
        <v>0.04</v>
      </c>
      <c r="I20">
        <v>0</v>
      </c>
      <c r="J20" t="str">
        <v>\cite{EHB2022}</v>
      </c>
      <c r="L20" t="str">
        <f t="shared" si="10"/>
        <v>H2 Pipeline (Onshore, repurposed) &amp; 39567.84 &amp; -3.84 &amp; 0 &amp; 0.09 &amp; 1 &amp; 50 &amp; 0.04 &amp; 0 &amp; \cite{EHB2022}\\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D4304-D793-4A46-9E41-9D5D2FD6D4F2}">
  <sheetPr codeName="Sheet3"/>
  <dimension ref="A1:AI119"/>
  <sheetViews>
    <sheetView workbookViewId="0">
      <selection activeCell="B17" sqref="B17"/>
    </sheetView>
  </sheetViews>
  <sheetFormatPr baseColWidth="10" defaultColWidth="8.83203125" defaultRowHeight="15" x14ac:dyDescent="0.2"/>
  <cols>
    <col min="2" max="2" width="12" bestFit="1" customWidth="1"/>
    <col min="3" max="4" width="11.83203125" bestFit="1" customWidth="1"/>
    <col min="10" max="10" width="10" bestFit="1" customWidth="1"/>
    <col min="11" max="11" width="14.6640625" bestFit="1" customWidth="1"/>
    <col min="13" max="13" width="14.5" bestFit="1" customWidth="1"/>
  </cols>
  <sheetData>
    <row r="1" spans="1:14" x14ac:dyDescent="0.2">
      <c r="A1" t="s">
        <v>61</v>
      </c>
      <c r="J1" t="s">
        <v>124</v>
      </c>
      <c r="K1" t="s">
        <v>126</v>
      </c>
      <c r="L1">
        <v>8000</v>
      </c>
      <c r="M1" t="s">
        <v>127</v>
      </c>
      <c r="N1">
        <v>162</v>
      </c>
    </row>
    <row r="2" spans="1:14" x14ac:dyDescent="0.2">
      <c r="A2" t="s">
        <v>62</v>
      </c>
      <c r="J2" t="s">
        <v>65</v>
      </c>
      <c r="K2" s="4">
        <f>(B14+C14*$L$1+E14*$N$1*$L$1)*10^-6</f>
        <v>128.7785890909866</v>
      </c>
      <c r="M2" s="12">
        <f>K2/$L$1/$N$1/1000*10^6</f>
        <v>9.9366195286255093E-2</v>
      </c>
    </row>
    <row r="3" spans="1:14" x14ac:dyDescent="0.2">
      <c r="A3" t="s">
        <v>120</v>
      </c>
      <c r="J3" t="s">
        <v>1</v>
      </c>
      <c r="K3" s="4">
        <f>(B15+C15*$L$1+E15*$N$1*$L$1)*10^-6</f>
        <v>434.40984073940609</v>
      </c>
      <c r="L3" s="11">
        <f>K2/K3</f>
        <v>0.29644491679054374</v>
      </c>
      <c r="M3" s="12">
        <f t="shared" ref="M3:M4" si="0">K3/$L$1/$N$1/1000*10^6</f>
        <v>0.33519277834830713</v>
      </c>
    </row>
    <row r="4" spans="1:14" x14ac:dyDescent="0.2">
      <c r="A4" t="s">
        <v>0</v>
      </c>
      <c r="B4" t="s">
        <v>63</v>
      </c>
      <c r="C4" t="s">
        <v>64</v>
      </c>
      <c r="D4" t="s">
        <v>64</v>
      </c>
      <c r="J4" t="s">
        <v>125</v>
      </c>
      <c r="K4" s="4">
        <f>(B16+C16*$L$1+E16*$N$1*$L$1)*10^-6</f>
        <v>738.49672925699042</v>
      </c>
      <c r="L4">
        <f>K4/K3</f>
        <v>1.7000000000000002</v>
      </c>
      <c r="M4" s="12">
        <f t="shared" si="0"/>
        <v>0.56982772319212227</v>
      </c>
    </row>
    <row r="5" spans="1:14" x14ac:dyDescent="0.2">
      <c r="A5" t="s">
        <v>65</v>
      </c>
      <c r="B5">
        <v>13000</v>
      </c>
      <c r="C5">
        <v>0.5</v>
      </c>
      <c r="D5">
        <v>0.62</v>
      </c>
      <c r="E5">
        <f>C5+D5</f>
        <v>1.1200000000000001</v>
      </c>
    </row>
    <row r="6" spans="1:14" x14ac:dyDescent="0.2">
      <c r="A6" t="s">
        <v>1</v>
      </c>
      <c r="B6">
        <v>13000</v>
      </c>
      <c r="C6">
        <v>2.8</v>
      </c>
      <c r="D6">
        <v>0.62</v>
      </c>
      <c r="E6">
        <f t="shared" ref="E6:E10" si="1">C6+D6</f>
        <v>3.42</v>
      </c>
      <c r="J6" t="s">
        <v>128</v>
      </c>
      <c r="K6">
        <f>0.4*L1*N1*1000*10^-6</f>
        <v>518.4</v>
      </c>
    </row>
    <row r="7" spans="1:14" x14ac:dyDescent="0.2">
      <c r="A7" t="s">
        <v>65</v>
      </c>
      <c r="B7">
        <v>3600</v>
      </c>
      <c r="C7">
        <v>0.4</v>
      </c>
      <c r="D7">
        <v>0.14000000000000001</v>
      </c>
      <c r="E7">
        <f t="shared" si="1"/>
        <v>0.54</v>
      </c>
    </row>
    <row r="8" spans="1:14" x14ac:dyDescent="0.2">
      <c r="A8" t="s">
        <v>1</v>
      </c>
      <c r="B8">
        <v>4700</v>
      </c>
      <c r="C8">
        <v>2.2000000000000002</v>
      </c>
      <c r="D8">
        <v>0.32</v>
      </c>
      <c r="E8">
        <f t="shared" si="1"/>
        <v>2.52</v>
      </c>
    </row>
    <row r="9" spans="1:14" x14ac:dyDescent="0.2">
      <c r="A9" t="s">
        <v>65</v>
      </c>
      <c r="B9">
        <v>1200</v>
      </c>
      <c r="C9">
        <v>0.3</v>
      </c>
      <c r="D9">
        <v>0.09</v>
      </c>
      <c r="E9">
        <f t="shared" si="1"/>
        <v>0.39</v>
      </c>
    </row>
    <row r="10" spans="1:14" x14ac:dyDescent="0.2">
      <c r="A10" t="s">
        <v>1</v>
      </c>
      <c r="B10">
        <v>1200</v>
      </c>
      <c r="C10">
        <v>1.5</v>
      </c>
      <c r="D10">
        <v>0.09</v>
      </c>
      <c r="E10">
        <f t="shared" si="1"/>
        <v>1.59</v>
      </c>
    </row>
    <row r="12" spans="1:14" x14ac:dyDescent="0.2">
      <c r="C12" t="s">
        <v>121</v>
      </c>
      <c r="D12" t="s">
        <v>122</v>
      </c>
      <c r="E12" t="s">
        <v>123</v>
      </c>
    </row>
    <row r="13" spans="1:14" x14ac:dyDescent="0.2">
      <c r="A13" s="1" t="s">
        <v>66</v>
      </c>
      <c r="B13" t="s">
        <v>67</v>
      </c>
      <c r="C13" t="s">
        <v>68</v>
      </c>
      <c r="D13" t="s">
        <v>69</v>
      </c>
      <c r="E13" t="s">
        <v>104</v>
      </c>
    </row>
    <row r="14" spans="1:14" x14ac:dyDescent="0.2">
      <c r="A14" t="s">
        <v>65</v>
      </c>
      <c r="B14" s="10">
        <f>R36*10^6</f>
        <v>39567835.104559466</v>
      </c>
      <c r="C14" s="10">
        <f>R38*10^6</f>
        <v>-3840.2806153825454</v>
      </c>
      <c r="D14" s="10">
        <v>0</v>
      </c>
      <c r="E14" s="10">
        <f>R37*10^6</f>
        <v>92.540894220283576</v>
      </c>
    </row>
    <row r="15" spans="1:14" x14ac:dyDescent="0.2">
      <c r="A15" t="s">
        <v>1</v>
      </c>
      <c r="B15" s="10">
        <f>AB36*10^6</f>
        <v>198262149.46909887</v>
      </c>
      <c r="C15" s="10">
        <f>AB38*10^6</f>
        <v>-19462.705162655006</v>
      </c>
      <c r="D15" s="10">
        <v>0</v>
      </c>
      <c r="E15" s="10">
        <f>AB37*10^6</f>
        <v>302.35288007063832</v>
      </c>
    </row>
    <row r="16" spans="1:14" x14ac:dyDescent="0.2">
      <c r="A16" t="s">
        <v>125</v>
      </c>
      <c r="B16" s="10">
        <f>B15*1.7</f>
        <v>337045654.09746808</v>
      </c>
      <c r="C16" s="10">
        <f>C15*1.7</f>
        <v>-33086.598776513507</v>
      </c>
      <c r="D16" s="10">
        <f>D15*1.7</f>
        <v>0</v>
      </c>
      <c r="E16" s="10">
        <f>E15*1.7</f>
        <v>513.99989612008517</v>
      </c>
    </row>
    <row r="19" spans="1:32" x14ac:dyDescent="0.2">
      <c r="A19" t="s">
        <v>65</v>
      </c>
      <c r="G19" t="s">
        <v>1</v>
      </c>
    </row>
    <row r="20" spans="1:32" x14ac:dyDescent="0.2">
      <c r="A20" t="s">
        <v>71</v>
      </c>
      <c r="B20" t="s">
        <v>73</v>
      </c>
      <c r="C20" t="s">
        <v>70</v>
      </c>
      <c r="D20" t="s">
        <v>72</v>
      </c>
      <c r="G20" t="s">
        <v>71</v>
      </c>
      <c r="H20" t="s">
        <v>73</v>
      </c>
      <c r="I20" t="s">
        <v>70</v>
      </c>
      <c r="J20" t="s">
        <v>72</v>
      </c>
      <c r="Q20" t="s">
        <v>74</v>
      </c>
      <c r="AA20" t="s">
        <v>74</v>
      </c>
    </row>
    <row r="21" spans="1:32" ht="16" thickBot="1" x14ac:dyDescent="0.25">
      <c r="A21">
        <v>50</v>
      </c>
      <c r="B21">
        <f>C21*A21</f>
        <v>650000</v>
      </c>
      <c r="C21">
        <v>13000</v>
      </c>
      <c r="D21" s="10">
        <f>($C$5+$D$5)*A21*10^6</f>
        <v>56000000.000000007</v>
      </c>
      <c r="E21" s="10">
        <f>B21*$R$37*1000000+C21*$R$38*1000000+$R$36*1000000</f>
        <v>49795768.347770706</v>
      </c>
      <c r="G21">
        <v>50</v>
      </c>
      <c r="H21">
        <f>I21*G21</f>
        <v>650000</v>
      </c>
      <c r="I21">
        <v>13000</v>
      </c>
      <c r="J21">
        <f>($C$6+$D$6)*G21*10^6</f>
        <v>171000000</v>
      </c>
      <c r="K21">
        <f t="shared" ref="K21:K40" si="2">H21*$AB$37+I21*$AB$38+$AB$36</f>
        <v>141.77635440049869</v>
      </c>
    </row>
    <row r="22" spans="1:32" x14ac:dyDescent="0.2">
      <c r="A22">
        <v>100</v>
      </c>
      <c r="B22">
        <f>C22*A22</f>
        <v>1300000</v>
      </c>
      <c r="C22">
        <v>13000</v>
      </c>
      <c r="D22" s="10">
        <f t="shared" ref="D22:D40" si="3">($C$5+$D$5)*A22*10^6</f>
        <v>112000000.00000001</v>
      </c>
      <c r="E22" s="10">
        <f t="shared" ref="E22:E40" si="4">B22*$R$37*1000000+C22*$R$38*1000000+$R$36*1000000</f>
        <v>109947349.59095503</v>
      </c>
      <c r="G22">
        <v>100</v>
      </c>
      <c r="H22">
        <f>I22*G22</f>
        <v>1300000</v>
      </c>
      <c r="I22">
        <v>13000</v>
      </c>
      <c r="J22">
        <f t="shared" ref="J22:J40" si="5">($C$6+$D$6)*G22*10^6</f>
        <v>342000000</v>
      </c>
      <c r="K22">
        <f t="shared" si="2"/>
        <v>338.30572644641359</v>
      </c>
      <c r="Q22" s="9" t="s">
        <v>75</v>
      </c>
      <c r="R22" s="9"/>
      <c r="AA22" s="9" t="s">
        <v>75</v>
      </c>
      <c r="AB22" s="9"/>
    </row>
    <row r="23" spans="1:32" x14ac:dyDescent="0.2">
      <c r="A23">
        <v>150</v>
      </c>
      <c r="B23">
        <f>C23*A23</f>
        <v>1950000</v>
      </c>
      <c r="C23">
        <v>13000</v>
      </c>
      <c r="D23" s="10">
        <f t="shared" si="3"/>
        <v>168000000.00000003</v>
      </c>
      <c r="E23" s="10">
        <f t="shared" si="4"/>
        <v>170098930.83413935</v>
      </c>
      <c r="G23">
        <v>150</v>
      </c>
      <c r="H23">
        <f>I23*G23</f>
        <v>1950000</v>
      </c>
      <c r="I23">
        <v>13000</v>
      </c>
      <c r="J23">
        <f t="shared" si="5"/>
        <v>513000000</v>
      </c>
      <c r="K23">
        <f t="shared" si="2"/>
        <v>534.83509849232848</v>
      </c>
      <c r="Q23" t="s">
        <v>76</v>
      </c>
      <c r="R23">
        <v>0.97977577700084184</v>
      </c>
      <c r="AA23" t="s">
        <v>76</v>
      </c>
      <c r="AB23">
        <v>0.93855775701874167</v>
      </c>
    </row>
    <row r="24" spans="1:32" x14ac:dyDescent="0.2">
      <c r="A24">
        <v>200</v>
      </c>
      <c r="B24">
        <f>C24*A24</f>
        <v>2600000</v>
      </c>
      <c r="C24">
        <v>13000</v>
      </c>
      <c r="D24" s="10">
        <f t="shared" si="3"/>
        <v>224000000.00000003</v>
      </c>
      <c r="E24" s="10">
        <f t="shared" si="4"/>
        <v>230250512.07732368</v>
      </c>
      <c r="G24">
        <v>200</v>
      </c>
      <c r="H24">
        <f>I24*G24</f>
        <v>2600000</v>
      </c>
      <c r="I24">
        <v>13000</v>
      </c>
      <c r="J24">
        <f t="shared" si="5"/>
        <v>684000000</v>
      </c>
      <c r="K24">
        <f t="shared" si="2"/>
        <v>731.36447053824338</v>
      </c>
      <c r="Q24" t="s">
        <v>77</v>
      </c>
      <c r="R24">
        <v>0.95996057319760342</v>
      </c>
      <c r="AA24" t="s">
        <v>77</v>
      </c>
      <c r="AB24">
        <v>0.88089066326005128</v>
      </c>
    </row>
    <row r="25" spans="1:32" x14ac:dyDescent="0.2">
      <c r="A25">
        <v>250</v>
      </c>
      <c r="B25">
        <f t="shared" ref="B25:B40" si="6">C25*A25</f>
        <v>3250000</v>
      </c>
      <c r="C25">
        <v>13000</v>
      </c>
      <c r="D25" s="10">
        <f t="shared" si="3"/>
        <v>280000000</v>
      </c>
      <c r="E25" s="10">
        <f t="shared" si="4"/>
        <v>290402093.32050794</v>
      </c>
      <c r="G25">
        <v>250</v>
      </c>
      <c r="H25">
        <f t="shared" ref="H25:H40" si="7">I25*G25</f>
        <v>3250000</v>
      </c>
      <c r="I25">
        <v>13000</v>
      </c>
      <c r="J25">
        <f t="shared" si="5"/>
        <v>855000000</v>
      </c>
      <c r="K25">
        <f t="shared" si="2"/>
        <v>927.89384258415828</v>
      </c>
      <c r="Q25" t="s">
        <v>78</v>
      </c>
      <c r="R25">
        <v>0.95106292279707083</v>
      </c>
      <c r="AA25" t="s">
        <v>78</v>
      </c>
      <c r="AB25">
        <v>0.85442192176228504</v>
      </c>
    </row>
    <row r="26" spans="1:32" x14ac:dyDescent="0.2">
      <c r="A26">
        <v>300</v>
      </c>
      <c r="B26">
        <f t="shared" si="6"/>
        <v>3900000</v>
      </c>
      <c r="C26">
        <v>13000</v>
      </c>
      <c r="D26" s="10">
        <f t="shared" si="3"/>
        <v>336000000.00000006</v>
      </c>
      <c r="E26" s="10">
        <f t="shared" si="4"/>
        <v>350553674.56369239</v>
      </c>
      <c r="G26">
        <v>300</v>
      </c>
      <c r="H26">
        <f t="shared" si="7"/>
        <v>3900000</v>
      </c>
      <c r="I26">
        <v>13000</v>
      </c>
      <c r="J26">
        <f t="shared" si="5"/>
        <v>1026000000</v>
      </c>
      <c r="K26">
        <f t="shared" si="2"/>
        <v>1124.4232146300733</v>
      </c>
      <c r="Q26" t="s">
        <v>79</v>
      </c>
      <c r="R26">
        <v>13.307416758100223</v>
      </c>
      <c r="AA26" t="s">
        <v>79</v>
      </c>
      <c r="AB26">
        <v>69.201448774718187</v>
      </c>
    </row>
    <row r="27" spans="1:32" ht="16" thickBot="1" x14ac:dyDescent="0.25">
      <c r="A27">
        <v>350</v>
      </c>
      <c r="B27">
        <f t="shared" si="6"/>
        <v>4550000</v>
      </c>
      <c r="C27">
        <v>13000</v>
      </c>
      <c r="D27" s="10">
        <f t="shared" si="3"/>
        <v>392000000.00000006</v>
      </c>
      <c r="E27" s="10">
        <f t="shared" si="4"/>
        <v>410705255.8068766</v>
      </c>
      <c r="G27">
        <v>350</v>
      </c>
      <c r="H27">
        <f t="shared" si="7"/>
        <v>4550000</v>
      </c>
      <c r="I27">
        <v>13000</v>
      </c>
      <c r="J27">
        <f t="shared" si="5"/>
        <v>1197000000</v>
      </c>
      <c r="K27">
        <f t="shared" si="2"/>
        <v>1320.9525866759882</v>
      </c>
      <c r="Q27" s="7" t="s">
        <v>80</v>
      </c>
      <c r="R27" s="7">
        <v>12</v>
      </c>
      <c r="AA27" s="7" t="s">
        <v>80</v>
      </c>
      <c r="AB27" s="7">
        <v>12</v>
      </c>
    </row>
    <row r="28" spans="1:32" x14ac:dyDescent="0.2">
      <c r="A28">
        <v>400</v>
      </c>
      <c r="B28">
        <f t="shared" si="6"/>
        <v>5200000</v>
      </c>
      <c r="C28">
        <v>13000</v>
      </c>
      <c r="D28" s="10">
        <f t="shared" si="3"/>
        <v>448000000.00000006</v>
      </c>
      <c r="E28" s="10">
        <f t="shared" si="4"/>
        <v>470856837.05006105</v>
      </c>
      <c r="G28">
        <v>400</v>
      </c>
      <c r="H28">
        <f t="shared" si="7"/>
        <v>5200000</v>
      </c>
      <c r="I28">
        <v>13000</v>
      </c>
      <c r="J28">
        <f t="shared" si="5"/>
        <v>1368000000</v>
      </c>
      <c r="K28">
        <f t="shared" si="2"/>
        <v>1517.4819587219031</v>
      </c>
    </row>
    <row r="29" spans="1:32" ht="16" thickBot="1" x14ac:dyDescent="0.25">
      <c r="A29">
        <v>450</v>
      </c>
      <c r="B29">
        <f t="shared" si="6"/>
        <v>5850000</v>
      </c>
      <c r="C29">
        <v>13000</v>
      </c>
      <c r="D29" s="10">
        <f t="shared" si="3"/>
        <v>504000000.00000006</v>
      </c>
      <c r="E29" s="10">
        <f t="shared" si="4"/>
        <v>531008418.29324526</v>
      </c>
      <c r="G29">
        <v>450</v>
      </c>
      <c r="H29">
        <f t="shared" si="7"/>
        <v>5850000</v>
      </c>
      <c r="I29">
        <v>13000</v>
      </c>
      <c r="J29">
        <f t="shared" si="5"/>
        <v>1539000000</v>
      </c>
      <c r="K29">
        <f t="shared" si="2"/>
        <v>1714.011330767818</v>
      </c>
      <c r="Q29" t="s">
        <v>81</v>
      </c>
      <c r="AA29" t="s">
        <v>81</v>
      </c>
    </row>
    <row r="30" spans="1:32" x14ac:dyDescent="0.2">
      <c r="A30">
        <v>500</v>
      </c>
      <c r="B30">
        <f t="shared" si="6"/>
        <v>6500000</v>
      </c>
      <c r="C30">
        <v>13000</v>
      </c>
      <c r="D30" s="10">
        <f t="shared" si="3"/>
        <v>560000000</v>
      </c>
      <c r="E30" s="10">
        <f t="shared" si="4"/>
        <v>591159999.53642952</v>
      </c>
      <c r="G30">
        <v>500</v>
      </c>
      <c r="H30">
        <f t="shared" si="7"/>
        <v>6500000</v>
      </c>
      <c r="I30">
        <v>13000</v>
      </c>
      <c r="J30">
        <f t="shared" si="5"/>
        <v>1710000000</v>
      </c>
      <c r="K30">
        <f t="shared" si="2"/>
        <v>1910.5407028137329</v>
      </c>
      <c r="Q30" s="8"/>
      <c r="R30" s="8" t="s">
        <v>86</v>
      </c>
      <c r="S30" s="8" t="s">
        <v>87</v>
      </c>
      <c r="T30" s="8" t="s">
        <v>88</v>
      </c>
      <c r="U30" s="8" t="s">
        <v>10</v>
      </c>
      <c r="V30" s="8" t="s">
        <v>89</v>
      </c>
      <c r="AA30" s="8"/>
      <c r="AB30" s="8" t="s">
        <v>86</v>
      </c>
      <c r="AC30" s="8" t="s">
        <v>87</v>
      </c>
      <c r="AD30" s="8" t="s">
        <v>88</v>
      </c>
      <c r="AE30" s="8" t="s">
        <v>10</v>
      </c>
      <c r="AF30" s="8" t="s">
        <v>89</v>
      </c>
    </row>
    <row r="31" spans="1:32" x14ac:dyDescent="0.2">
      <c r="A31">
        <v>550</v>
      </c>
      <c r="B31">
        <f t="shared" si="6"/>
        <v>7150000</v>
      </c>
      <c r="C31">
        <v>13000</v>
      </c>
      <c r="D31" s="10">
        <f t="shared" si="3"/>
        <v>616000000.00000012</v>
      </c>
      <c r="E31" s="10">
        <f t="shared" si="4"/>
        <v>651311580.77961397</v>
      </c>
      <c r="G31">
        <v>550</v>
      </c>
      <c r="H31">
        <f t="shared" si="7"/>
        <v>7150000</v>
      </c>
      <c r="I31">
        <v>13000</v>
      </c>
      <c r="J31">
        <f t="shared" si="5"/>
        <v>1881000000</v>
      </c>
      <c r="K31">
        <f t="shared" si="2"/>
        <v>2107.0700748596478</v>
      </c>
      <c r="Q31" t="s">
        <v>82</v>
      </c>
      <c r="R31">
        <v>2</v>
      </c>
      <c r="S31">
        <v>38211.630599702788</v>
      </c>
      <c r="T31">
        <v>19105.815299851394</v>
      </c>
      <c r="U31">
        <v>107.88922130949798</v>
      </c>
      <c r="V31">
        <v>5.1427490430817188E-7</v>
      </c>
      <c r="AA31" t="s">
        <v>82</v>
      </c>
      <c r="AB31">
        <v>2</v>
      </c>
      <c r="AC31">
        <v>318749.18538732047</v>
      </c>
      <c r="AD31">
        <v>159374.59269366023</v>
      </c>
      <c r="AE31">
        <v>33.280413552506346</v>
      </c>
      <c r="AF31">
        <v>6.9463414638694794E-5</v>
      </c>
    </row>
    <row r="32" spans="1:32" x14ac:dyDescent="0.2">
      <c r="A32">
        <v>600</v>
      </c>
      <c r="B32">
        <f t="shared" si="6"/>
        <v>7800000</v>
      </c>
      <c r="C32">
        <v>13000</v>
      </c>
      <c r="D32" s="10">
        <f t="shared" si="3"/>
        <v>672000000.00000012</v>
      </c>
      <c r="E32" s="10">
        <f t="shared" si="4"/>
        <v>711463162.0227983</v>
      </c>
      <c r="G32">
        <v>600</v>
      </c>
      <c r="H32">
        <f t="shared" si="7"/>
        <v>7800000</v>
      </c>
      <c r="I32">
        <v>13000</v>
      </c>
      <c r="J32">
        <f t="shared" si="5"/>
        <v>2052000000</v>
      </c>
      <c r="K32">
        <f t="shared" si="2"/>
        <v>2303.5994469055627</v>
      </c>
      <c r="Q32" t="s">
        <v>83</v>
      </c>
      <c r="R32">
        <v>9</v>
      </c>
      <c r="S32">
        <v>1593.7860669638997</v>
      </c>
      <c r="T32">
        <v>177.08734077376664</v>
      </c>
      <c r="AA32" t="s">
        <v>83</v>
      </c>
      <c r="AB32">
        <v>9</v>
      </c>
      <c r="AC32">
        <v>43099.564612679504</v>
      </c>
      <c r="AD32">
        <v>4788.8405125199452</v>
      </c>
    </row>
    <row r="33" spans="1:35" ht="16" thickBot="1" x14ac:dyDescent="0.25">
      <c r="A33">
        <v>650</v>
      </c>
      <c r="B33">
        <f t="shared" si="6"/>
        <v>8450000</v>
      </c>
      <c r="C33">
        <v>13000</v>
      </c>
      <c r="D33" s="10">
        <f t="shared" si="3"/>
        <v>728000000.00000012</v>
      </c>
      <c r="E33" s="10">
        <f t="shared" si="4"/>
        <v>771614743.26598251</v>
      </c>
      <c r="G33">
        <v>650</v>
      </c>
      <c r="H33">
        <f t="shared" si="7"/>
        <v>8450000</v>
      </c>
      <c r="I33">
        <v>13000</v>
      </c>
      <c r="J33">
        <f t="shared" si="5"/>
        <v>2223000000</v>
      </c>
      <c r="K33">
        <f t="shared" si="2"/>
        <v>2500.1288189514776</v>
      </c>
      <c r="Q33" s="7" t="s">
        <v>84</v>
      </c>
      <c r="R33" s="7">
        <v>11</v>
      </c>
      <c r="S33" s="7">
        <v>39805.416666666686</v>
      </c>
      <c r="T33" s="7"/>
      <c r="U33" s="7"/>
      <c r="V33" s="7"/>
      <c r="AA33" s="7" t="s">
        <v>84</v>
      </c>
      <c r="AB33" s="7">
        <v>11</v>
      </c>
      <c r="AC33" s="7">
        <v>361848.75</v>
      </c>
      <c r="AD33" s="7"/>
      <c r="AE33" s="7"/>
      <c r="AF33" s="7"/>
    </row>
    <row r="34" spans="1:35" ht="16" thickBot="1" x14ac:dyDescent="0.25">
      <c r="A34">
        <v>700</v>
      </c>
      <c r="B34">
        <f t="shared" si="6"/>
        <v>9100000</v>
      </c>
      <c r="C34">
        <v>13000</v>
      </c>
      <c r="D34" s="10">
        <f t="shared" si="3"/>
        <v>784000000.00000012</v>
      </c>
      <c r="E34" s="10">
        <f t="shared" si="4"/>
        <v>831766324.50916684</v>
      </c>
      <c r="G34">
        <v>700</v>
      </c>
      <c r="H34">
        <f t="shared" si="7"/>
        <v>9100000</v>
      </c>
      <c r="I34">
        <v>13000</v>
      </c>
      <c r="J34">
        <f t="shared" si="5"/>
        <v>2394000000</v>
      </c>
      <c r="K34">
        <f t="shared" si="2"/>
        <v>2696.6581909973925</v>
      </c>
    </row>
    <row r="35" spans="1:35" x14ac:dyDescent="0.2">
      <c r="A35">
        <v>750</v>
      </c>
      <c r="B35">
        <f t="shared" si="6"/>
        <v>9750000</v>
      </c>
      <c r="C35">
        <v>13000</v>
      </c>
      <c r="D35" s="10">
        <f t="shared" si="3"/>
        <v>840000000.00000012</v>
      </c>
      <c r="E35" s="10">
        <f t="shared" si="4"/>
        <v>891917905.75235128</v>
      </c>
      <c r="G35">
        <v>750</v>
      </c>
      <c r="H35">
        <f t="shared" si="7"/>
        <v>9750000</v>
      </c>
      <c r="I35">
        <v>13000</v>
      </c>
      <c r="J35">
        <f t="shared" si="5"/>
        <v>2565000000</v>
      </c>
      <c r="K35">
        <f t="shared" si="2"/>
        <v>2893.1875630433074</v>
      </c>
      <c r="Q35" s="8"/>
      <c r="R35" s="8" t="s">
        <v>90</v>
      </c>
      <c r="S35" s="8" t="s">
        <v>79</v>
      </c>
      <c r="T35" s="8" t="s">
        <v>91</v>
      </c>
      <c r="U35" s="8" t="s">
        <v>92</v>
      </c>
      <c r="V35" s="8" t="s">
        <v>93</v>
      </c>
      <c r="W35" s="8" t="s">
        <v>94</v>
      </c>
      <c r="X35" s="8" t="s">
        <v>95</v>
      </c>
      <c r="Y35" s="8" t="s">
        <v>96</v>
      </c>
      <c r="AA35" s="8"/>
      <c r="AB35" s="8" t="s">
        <v>90</v>
      </c>
      <c r="AC35" s="8" t="s">
        <v>79</v>
      </c>
      <c r="AD35" s="8" t="s">
        <v>91</v>
      </c>
      <c r="AE35" s="8" t="s">
        <v>92</v>
      </c>
      <c r="AF35" s="8" t="s">
        <v>93</v>
      </c>
      <c r="AG35" s="8" t="s">
        <v>94</v>
      </c>
      <c r="AH35" s="8" t="s">
        <v>95</v>
      </c>
      <c r="AI35" s="8" t="s">
        <v>96</v>
      </c>
    </row>
    <row r="36" spans="1:35" x14ac:dyDescent="0.2">
      <c r="A36">
        <v>800</v>
      </c>
      <c r="B36">
        <f t="shared" si="6"/>
        <v>10400000</v>
      </c>
      <c r="C36">
        <v>13000</v>
      </c>
      <c r="D36" s="10">
        <f t="shared" si="3"/>
        <v>896000000.00000012</v>
      </c>
      <c r="E36" s="10">
        <f t="shared" si="4"/>
        <v>952069486.99553561</v>
      </c>
      <c r="G36">
        <v>800</v>
      </c>
      <c r="H36">
        <f t="shared" si="7"/>
        <v>10400000</v>
      </c>
      <c r="I36">
        <v>13000</v>
      </c>
      <c r="J36">
        <f t="shared" si="5"/>
        <v>2736000000</v>
      </c>
      <c r="K36">
        <f t="shared" si="2"/>
        <v>3089.7169350892223</v>
      </c>
      <c r="Q36" t="s">
        <v>85</v>
      </c>
      <c r="R36">
        <v>39.567835104559464</v>
      </c>
      <c r="S36">
        <v>5.8986172990611365</v>
      </c>
      <c r="T36">
        <v>6.707984786681676</v>
      </c>
      <c r="U36">
        <v>8.7735845784733563E-5</v>
      </c>
      <c r="V36">
        <v>26.22423573088291</v>
      </c>
      <c r="W36">
        <v>52.911434478236018</v>
      </c>
      <c r="X36">
        <v>26.22423573088291</v>
      </c>
      <c r="Y36">
        <v>52.911434478236018</v>
      </c>
      <c r="AA36" t="s">
        <v>85</v>
      </c>
      <c r="AB36">
        <v>198.26214946909886</v>
      </c>
      <c r="AC36">
        <v>32.340617443994461</v>
      </c>
      <c r="AD36">
        <v>6.1304379798078177</v>
      </c>
      <c r="AE36">
        <v>1.7275575511672468E-4</v>
      </c>
      <c r="AF36">
        <v>125.1025900688502</v>
      </c>
      <c r="AG36">
        <v>271.42170886934753</v>
      </c>
      <c r="AH36">
        <v>125.1025900688502</v>
      </c>
      <c r="AI36">
        <v>271.42170886934753</v>
      </c>
    </row>
    <row r="37" spans="1:35" x14ac:dyDescent="0.2">
      <c r="A37">
        <v>850</v>
      </c>
      <c r="B37">
        <f t="shared" si="6"/>
        <v>11050000</v>
      </c>
      <c r="C37">
        <v>13000</v>
      </c>
      <c r="D37" s="10">
        <f t="shared" si="3"/>
        <v>952000000.00000012</v>
      </c>
      <c r="E37" s="10">
        <f t="shared" si="4"/>
        <v>1012221068.2387198</v>
      </c>
      <c r="G37">
        <v>850</v>
      </c>
      <c r="H37">
        <f t="shared" si="7"/>
        <v>11050000</v>
      </c>
      <c r="I37">
        <v>13000</v>
      </c>
      <c r="J37">
        <f t="shared" si="5"/>
        <v>2907000000</v>
      </c>
      <c r="K37">
        <f t="shared" si="2"/>
        <v>3286.2463071351372</v>
      </c>
      <c r="Q37" t="s">
        <v>97</v>
      </c>
      <c r="R37">
        <v>9.2540894220283573E-5</v>
      </c>
      <c r="S37">
        <v>8.7889923415008414E-6</v>
      </c>
      <c r="T37">
        <v>10.529181346912056</v>
      </c>
      <c r="U37">
        <v>2.3257765236709474E-6</v>
      </c>
      <c r="V37">
        <v>7.2658812241178878E-5</v>
      </c>
      <c r="W37">
        <v>1.1242297619938827E-4</v>
      </c>
      <c r="X37">
        <v>7.2658812241178878E-5</v>
      </c>
      <c r="Y37">
        <v>1.1242297619938827E-4</v>
      </c>
      <c r="AA37" t="s">
        <v>97</v>
      </c>
      <c r="AB37">
        <v>3.0235288007063831E-4</v>
      </c>
      <c r="AC37">
        <v>4.460781745478295E-5</v>
      </c>
      <c r="AD37">
        <v>6.7780245105495371</v>
      </c>
      <c r="AE37">
        <v>8.1038648058789092E-5</v>
      </c>
      <c r="AF37">
        <v>2.0144298629850625E-4</v>
      </c>
      <c r="AG37">
        <v>4.032627738427704E-4</v>
      </c>
      <c r="AH37">
        <v>2.0144298629850625E-4</v>
      </c>
      <c r="AI37">
        <v>4.032627738427704E-4</v>
      </c>
    </row>
    <row r="38" spans="1:35" ht="16" thickBot="1" x14ac:dyDescent="0.25">
      <c r="A38">
        <v>900</v>
      </c>
      <c r="B38">
        <f t="shared" si="6"/>
        <v>11700000</v>
      </c>
      <c r="C38">
        <v>13000</v>
      </c>
      <c r="D38" s="10">
        <f t="shared" si="3"/>
        <v>1008000000.0000001</v>
      </c>
      <c r="E38" s="10">
        <f t="shared" si="4"/>
        <v>1072372649.481904</v>
      </c>
      <c r="G38">
        <v>900</v>
      </c>
      <c r="H38">
        <f t="shared" si="7"/>
        <v>11700000</v>
      </c>
      <c r="I38">
        <v>13000</v>
      </c>
      <c r="J38">
        <f t="shared" si="5"/>
        <v>3078000000</v>
      </c>
      <c r="K38">
        <f t="shared" si="2"/>
        <v>3482.7756791810521</v>
      </c>
      <c r="Q38" s="7" t="s">
        <v>98</v>
      </c>
      <c r="R38" s="7">
        <v>-3.8402806153825454E-3</v>
      </c>
      <c r="S38" s="7">
        <v>1.332711165910458E-3</v>
      </c>
      <c r="T38" s="7">
        <v>-2.881555068805183</v>
      </c>
      <c r="U38" s="7">
        <v>1.8132015569115364E-2</v>
      </c>
      <c r="V38" s="7">
        <v>-6.8550827252880355E-3</v>
      </c>
      <c r="W38" s="7">
        <v>-8.2547850547705533E-4</v>
      </c>
      <c r="X38" s="7">
        <v>-6.8550827252880355E-3</v>
      </c>
      <c r="Y38" s="7">
        <v>-8.2547850547705533E-4</v>
      </c>
      <c r="AA38" s="7" t="s">
        <v>98</v>
      </c>
      <c r="AB38" s="7">
        <v>-1.9462705162655004E-2</v>
      </c>
      <c r="AC38" s="7">
        <v>6.8839642692857302E-3</v>
      </c>
      <c r="AD38" s="7">
        <v>-2.8272524959915901</v>
      </c>
      <c r="AE38" s="7">
        <v>1.9811054120046259E-2</v>
      </c>
      <c r="AF38" s="7">
        <v>-3.5035314242866634E-2</v>
      </c>
      <c r="AG38" s="7">
        <v>-3.8900960824433759E-3</v>
      </c>
      <c r="AH38" s="7">
        <v>-3.5035314242866634E-2</v>
      </c>
      <c r="AI38" s="7">
        <v>-3.8900960824433759E-3</v>
      </c>
    </row>
    <row r="39" spans="1:35" x14ac:dyDescent="0.2">
      <c r="A39">
        <v>950</v>
      </c>
      <c r="B39">
        <f t="shared" si="6"/>
        <v>12350000</v>
      </c>
      <c r="C39">
        <v>13000</v>
      </c>
      <c r="D39" s="10">
        <f t="shared" si="3"/>
        <v>1064000000</v>
      </c>
      <c r="E39" s="10">
        <f t="shared" si="4"/>
        <v>1132524230.7250886</v>
      </c>
      <c r="G39">
        <v>950</v>
      </c>
      <c r="H39">
        <f t="shared" si="7"/>
        <v>12350000</v>
      </c>
      <c r="I39">
        <v>13000</v>
      </c>
      <c r="J39">
        <f t="shared" si="5"/>
        <v>3249000000</v>
      </c>
      <c r="K39">
        <f t="shared" si="2"/>
        <v>3679.305051226967</v>
      </c>
    </row>
    <row r="40" spans="1:35" x14ac:dyDescent="0.2">
      <c r="A40">
        <v>1000</v>
      </c>
      <c r="B40">
        <f t="shared" si="6"/>
        <v>13000000</v>
      </c>
      <c r="C40">
        <v>13000</v>
      </c>
      <c r="D40" s="10">
        <f t="shared" si="3"/>
        <v>1120000000</v>
      </c>
      <c r="E40" s="10">
        <f t="shared" si="4"/>
        <v>1192675811.9682727</v>
      </c>
      <c r="G40">
        <v>1000</v>
      </c>
      <c r="H40">
        <f t="shared" si="7"/>
        <v>13000000</v>
      </c>
      <c r="I40">
        <v>13000</v>
      </c>
      <c r="J40">
        <f t="shared" si="5"/>
        <v>3420000000</v>
      </c>
      <c r="K40">
        <f t="shared" si="2"/>
        <v>3875.8344232728818</v>
      </c>
    </row>
    <row r="42" spans="1:35" x14ac:dyDescent="0.2">
      <c r="Q42" t="s">
        <v>99</v>
      </c>
      <c r="AA42" t="s">
        <v>99</v>
      </c>
    </row>
    <row r="43" spans="1:35" ht="16" thickBot="1" x14ac:dyDescent="0.25"/>
    <row r="44" spans="1:35" x14ac:dyDescent="0.2">
      <c r="Q44" s="8" t="s">
        <v>100</v>
      </c>
      <c r="R44" s="8" t="s">
        <v>101</v>
      </c>
      <c r="S44" s="8" t="s">
        <v>102</v>
      </c>
      <c r="AA44" s="8" t="s">
        <v>100</v>
      </c>
      <c r="AB44" s="8" t="s">
        <v>101</v>
      </c>
      <c r="AC44" s="8" t="s">
        <v>102</v>
      </c>
    </row>
    <row r="45" spans="1:35" x14ac:dyDescent="0.2">
      <c r="Q45">
        <v>1</v>
      </c>
      <c r="R45">
        <v>49.795768347770696</v>
      </c>
      <c r="S45">
        <v>6.2042316522293106</v>
      </c>
      <c r="AA45">
        <v>1</v>
      </c>
      <c r="AB45">
        <v>141.77635440049869</v>
      </c>
      <c r="AC45">
        <v>29.22364559950131</v>
      </c>
    </row>
    <row r="46" spans="1:35" x14ac:dyDescent="0.2">
      <c r="Q46">
        <v>2</v>
      </c>
      <c r="R46">
        <v>109.94734959095501</v>
      </c>
      <c r="S46">
        <v>2.0526504090450004</v>
      </c>
      <c r="AA46">
        <v>2</v>
      </c>
      <c r="AB46">
        <v>338.30572644641359</v>
      </c>
      <c r="AC46">
        <v>3.6942735535864131</v>
      </c>
    </row>
    <row r="47" spans="1:35" x14ac:dyDescent="0.2">
      <c r="Q47">
        <v>3</v>
      </c>
      <c r="R47">
        <v>170.09893083413934</v>
      </c>
      <c r="S47">
        <v>-2.0989308341393098</v>
      </c>
      <c r="AA47">
        <v>3</v>
      </c>
      <c r="AB47">
        <v>534.83509849232848</v>
      </c>
      <c r="AC47">
        <v>-21.835098492328484</v>
      </c>
    </row>
    <row r="48" spans="1:35" x14ac:dyDescent="0.2">
      <c r="Q48">
        <v>4</v>
      </c>
      <c r="R48">
        <v>230.25051207732363</v>
      </c>
      <c r="S48">
        <v>-6.2505120773236058</v>
      </c>
      <c r="AA48">
        <v>4</v>
      </c>
      <c r="AB48">
        <v>731.36447053824338</v>
      </c>
      <c r="AC48">
        <v>-47.364470538243381</v>
      </c>
    </row>
    <row r="49" spans="17:29" x14ac:dyDescent="0.2">
      <c r="Q49">
        <v>5</v>
      </c>
      <c r="R49">
        <v>42.400185848833345</v>
      </c>
      <c r="S49">
        <v>-15.400185848833345</v>
      </c>
      <c r="AA49">
        <v>5</v>
      </c>
      <c r="AB49">
        <v>177.84036202122036</v>
      </c>
      <c r="AC49">
        <v>-51.840362021220358</v>
      </c>
    </row>
    <row r="50" spans="17:29" x14ac:dyDescent="0.2">
      <c r="Q50">
        <v>6</v>
      </c>
      <c r="R50">
        <v>59.057546808484389</v>
      </c>
      <c r="S50">
        <v>-5.0575468084843891</v>
      </c>
      <c r="AA50">
        <v>6</v>
      </c>
      <c r="AB50">
        <v>248.89328883782036</v>
      </c>
      <c r="AC50">
        <v>3.1067111621796357</v>
      </c>
    </row>
    <row r="51" spans="17:29" x14ac:dyDescent="0.2">
      <c r="Q51">
        <v>7</v>
      </c>
      <c r="R51">
        <v>75.714907768135433</v>
      </c>
      <c r="S51">
        <v>5.2850922318645672</v>
      </c>
      <c r="AA51">
        <v>7</v>
      </c>
      <c r="AB51">
        <v>319.94621565442037</v>
      </c>
      <c r="AC51">
        <v>58.053784345579629</v>
      </c>
    </row>
    <row r="52" spans="17:29" x14ac:dyDescent="0.2">
      <c r="Q52">
        <v>8</v>
      </c>
      <c r="R52">
        <v>92.372268727786476</v>
      </c>
      <c r="S52">
        <v>15.627731272213524</v>
      </c>
      <c r="AA52">
        <v>8</v>
      </c>
      <c r="AB52">
        <v>390.99914247102038</v>
      </c>
      <c r="AC52">
        <v>113.00085752897962</v>
      </c>
    </row>
    <row r="53" spans="17:29" x14ac:dyDescent="0.2">
      <c r="Q53">
        <v>9</v>
      </c>
      <c r="R53">
        <v>40.511952019317427</v>
      </c>
      <c r="S53">
        <v>-21.011952019317427</v>
      </c>
      <c r="AA53">
        <v>9</v>
      </c>
      <c r="AB53">
        <v>193.04807607815115</v>
      </c>
      <c r="AC53">
        <v>-113.54807607815115</v>
      </c>
    </row>
    <row r="54" spans="17:29" x14ac:dyDescent="0.2">
      <c r="Q54">
        <v>10</v>
      </c>
      <c r="R54">
        <v>46.064405672534441</v>
      </c>
      <c r="S54">
        <v>-7.0644056725344413</v>
      </c>
      <c r="AA54">
        <v>10</v>
      </c>
      <c r="AB54">
        <v>211.18924888238945</v>
      </c>
      <c r="AC54">
        <v>-52.18924888238945</v>
      </c>
    </row>
    <row r="55" spans="17:29" x14ac:dyDescent="0.2">
      <c r="Q55">
        <v>11</v>
      </c>
      <c r="R55">
        <v>51.616859325751456</v>
      </c>
      <c r="S55">
        <v>6.8831406742485441</v>
      </c>
      <c r="AA55">
        <v>11</v>
      </c>
      <c r="AB55">
        <v>229.33042168662774</v>
      </c>
      <c r="AC55">
        <v>9.1695783133722557</v>
      </c>
    </row>
    <row r="56" spans="17:29" ht="16" thickBot="1" x14ac:dyDescent="0.25">
      <c r="Q56" s="7">
        <v>12</v>
      </c>
      <c r="R56" s="7">
        <v>57.16931297896847</v>
      </c>
      <c r="S56" s="7">
        <v>20.83068702103153</v>
      </c>
      <c r="AA56" s="7">
        <v>12</v>
      </c>
      <c r="AB56" s="7">
        <v>247.47159449086604</v>
      </c>
      <c r="AC56" s="7">
        <v>70.528405509133961</v>
      </c>
    </row>
    <row r="57" spans="17:29" x14ac:dyDescent="0.2">
      <c r="AA57">
        <v>13</v>
      </c>
      <c r="AB57">
        <v>832.73378974792229</v>
      </c>
      <c r="AC57">
        <v>22.266210252077713</v>
      </c>
    </row>
    <row r="58" spans="17:29" x14ac:dyDescent="0.2">
      <c r="AA58">
        <v>14</v>
      </c>
      <c r="AB58">
        <v>1030.1196596272707</v>
      </c>
      <c r="AC58">
        <v>-4.1196596272707211</v>
      </c>
    </row>
    <row r="59" spans="17:29" x14ac:dyDescent="0.2">
      <c r="AA59">
        <v>15</v>
      </c>
      <c r="AB59">
        <v>1227.5055295066195</v>
      </c>
      <c r="AC59">
        <v>-30.505529506619496</v>
      </c>
    </row>
    <row r="60" spans="17:29" x14ac:dyDescent="0.2">
      <c r="AA60">
        <v>16</v>
      </c>
      <c r="AB60">
        <v>1424.8913993859678</v>
      </c>
      <c r="AC60">
        <v>-56.891399385967816</v>
      </c>
    </row>
    <row r="61" spans="17:29" x14ac:dyDescent="0.2">
      <c r="AA61">
        <v>17</v>
      </c>
      <c r="AB61">
        <v>633.10786470750327</v>
      </c>
      <c r="AC61">
        <v>-3.1078647075032677</v>
      </c>
    </row>
    <row r="62" spans="17:29" x14ac:dyDescent="0.2">
      <c r="AA62">
        <v>18</v>
      </c>
      <c r="AB62">
        <v>687.76856713563052</v>
      </c>
      <c r="AC62">
        <v>68.231432864369481</v>
      </c>
    </row>
    <row r="63" spans="17:29" x14ac:dyDescent="0.2">
      <c r="AA63">
        <v>19</v>
      </c>
      <c r="AB63">
        <v>742.42926956375777</v>
      </c>
      <c r="AC63">
        <v>139.57073043624223</v>
      </c>
    </row>
    <row r="64" spans="17:29" x14ac:dyDescent="0.2">
      <c r="AA64">
        <v>20</v>
      </c>
      <c r="AB64">
        <v>797.08997199188514</v>
      </c>
      <c r="AC64">
        <v>210.91002800811486</v>
      </c>
    </row>
    <row r="65" spans="27:29" x14ac:dyDescent="0.2">
      <c r="AA65">
        <v>21</v>
      </c>
      <c r="AB65">
        <v>582.13954342058764</v>
      </c>
      <c r="AC65">
        <v>-184.63954342058764</v>
      </c>
    </row>
    <row r="66" spans="27:29" x14ac:dyDescent="0.2">
      <c r="AA66">
        <v>22</v>
      </c>
      <c r="AB66">
        <v>600.3597775632968</v>
      </c>
      <c r="AC66">
        <v>-123.3597775632968</v>
      </c>
    </row>
    <row r="67" spans="27:29" x14ac:dyDescent="0.2">
      <c r="AA67">
        <v>23</v>
      </c>
      <c r="AB67">
        <v>618.58001170600585</v>
      </c>
      <c r="AC67">
        <v>-62.080011706005848</v>
      </c>
    </row>
    <row r="68" spans="27:29" x14ac:dyDescent="0.2">
      <c r="AA68">
        <v>24</v>
      </c>
      <c r="AB68">
        <v>636.80024584871501</v>
      </c>
      <c r="AC68">
        <v>-0.80024584871500792</v>
      </c>
    </row>
    <row r="69" spans="27:29" x14ac:dyDescent="0.2">
      <c r="AA69">
        <v>25</v>
      </c>
      <c r="AB69">
        <v>1622.2772692653166</v>
      </c>
      <c r="AC69">
        <v>-83.27726926531659</v>
      </c>
    </row>
    <row r="70" spans="27:29" x14ac:dyDescent="0.2">
      <c r="AA70">
        <v>26</v>
      </c>
      <c r="AB70">
        <v>1819.6631391446649</v>
      </c>
      <c r="AC70">
        <v>-109.66313914466491</v>
      </c>
    </row>
    <row r="71" spans="27:29" x14ac:dyDescent="0.2">
      <c r="AA71">
        <v>27</v>
      </c>
      <c r="AB71">
        <v>2017.0490090240137</v>
      </c>
      <c r="AC71">
        <v>-136.04900902401369</v>
      </c>
    </row>
    <row r="72" spans="27:29" x14ac:dyDescent="0.2">
      <c r="AA72">
        <v>28</v>
      </c>
      <c r="AB72">
        <v>2214.434878903362</v>
      </c>
      <c r="AC72">
        <v>-162.43487890336201</v>
      </c>
    </row>
    <row r="73" spans="27:29" x14ac:dyDescent="0.2">
      <c r="AA73">
        <v>29</v>
      </c>
      <c r="AB73">
        <v>851.7506744200125</v>
      </c>
      <c r="AC73">
        <v>282.2493255799875</v>
      </c>
    </row>
    <row r="74" spans="27:29" x14ac:dyDescent="0.2">
      <c r="AA74">
        <v>30</v>
      </c>
      <c r="AB74">
        <v>906.41137684813975</v>
      </c>
      <c r="AC74">
        <v>353.58862315186025</v>
      </c>
    </row>
    <row r="75" spans="27:29" x14ac:dyDescent="0.2">
      <c r="AA75">
        <v>31</v>
      </c>
      <c r="AB75">
        <v>961.072079276267</v>
      </c>
      <c r="AC75">
        <v>424.927920723733</v>
      </c>
    </row>
    <row r="76" spans="27:29" x14ac:dyDescent="0.2">
      <c r="AA76">
        <v>32</v>
      </c>
      <c r="AB76">
        <v>1015.7327817043943</v>
      </c>
      <c r="AC76">
        <v>496.26721829560574</v>
      </c>
    </row>
    <row r="77" spans="27:29" x14ac:dyDescent="0.2">
      <c r="AA77">
        <v>33</v>
      </c>
      <c r="AB77">
        <v>655.02047999142405</v>
      </c>
      <c r="AC77">
        <v>60.479520008575946</v>
      </c>
    </row>
    <row r="78" spans="27:29" x14ac:dyDescent="0.2">
      <c r="AA78">
        <v>34</v>
      </c>
      <c r="AB78">
        <v>673.2407141341331</v>
      </c>
      <c r="AC78">
        <v>121.7592858658669</v>
      </c>
    </row>
    <row r="79" spans="27:29" x14ac:dyDescent="0.2">
      <c r="AA79">
        <v>35</v>
      </c>
      <c r="AB79">
        <v>691.46094827684226</v>
      </c>
      <c r="AC79">
        <v>183.03905172315774</v>
      </c>
    </row>
    <row r="80" spans="27:29" ht="16" thickBot="1" x14ac:dyDescent="0.25">
      <c r="AA80" s="7">
        <v>36</v>
      </c>
      <c r="AB80" s="7">
        <v>709.68118241955142</v>
      </c>
      <c r="AC80" s="7">
        <v>244.31881758044858</v>
      </c>
    </row>
    <row r="81" spans="27:29" x14ac:dyDescent="0.2">
      <c r="AA81" t="s">
        <v>99</v>
      </c>
    </row>
    <row r="82" spans="27:29" ht="16" thickBot="1" x14ac:dyDescent="0.25"/>
    <row r="83" spans="27:29" x14ac:dyDescent="0.2">
      <c r="AA83" s="8" t="s">
        <v>100</v>
      </c>
      <c r="AB83" s="8" t="s">
        <v>101</v>
      </c>
      <c r="AC83" s="8" t="s">
        <v>102</v>
      </c>
    </row>
    <row r="84" spans="27:29" x14ac:dyDescent="0.2">
      <c r="AA84">
        <v>1</v>
      </c>
      <c r="AB84">
        <v>196.57832677676012</v>
      </c>
      <c r="AC84">
        <v>-25.578326776760122</v>
      </c>
    </row>
    <row r="85" spans="27:29" x14ac:dyDescent="0.2">
      <c r="AA85">
        <v>2</v>
      </c>
      <c r="AB85">
        <v>393.05682104494429</v>
      </c>
      <c r="AC85">
        <v>-51.056821044944286</v>
      </c>
    </row>
    <row r="86" spans="27:29" x14ac:dyDescent="0.2">
      <c r="AA86">
        <v>3</v>
      </c>
      <c r="AB86">
        <v>589.53531531312842</v>
      </c>
      <c r="AC86">
        <v>-76.535315313128422</v>
      </c>
    </row>
    <row r="87" spans="27:29" x14ac:dyDescent="0.2">
      <c r="AA87">
        <v>4</v>
      </c>
      <c r="AB87">
        <v>786.01380958131267</v>
      </c>
      <c r="AC87">
        <v>-102.01380958131267</v>
      </c>
    </row>
    <row r="88" spans="27:29" x14ac:dyDescent="0.2">
      <c r="AA88">
        <v>5</v>
      </c>
      <c r="AB88">
        <v>71.070625834674814</v>
      </c>
      <c r="AC88">
        <v>54.929374165325186</v>
      </c>
    </row>
    <row r="89" spans="27:29" x14ac:dyDescent="0.2">
      <c r="AA89">
        <v>6</v>
      </c>
      <c r="AB89">
        <v>142.10515837778755</v>
      </c>
      <c r="AC89">
        <v>109.89484162221245</v>
      </c>
    </row>
    <row r="90" spans="27:29" x14ac:dyDescent="0.2">
      <c r="AA90">
        <v>7</v>
      </c>
      <c r="AB90">
        <v>213.13969092090028</v>
      </c>
      <c r="AC90">
        <v>164.86030907909972</v>
      </c>
    </row>
    <row r="91" spans="27:29" x14ac:dyDescent="0.2">
      <c r="AA91">
        <v>8</v>
      </c>
      <c r="AB91">
        <v>284.17422346401298</v>
      </c>
      <c r="AC91">
        <v>219.82577653598702</v>
      </c>
    </row>
    <row r="92" spans="27:29" x14ac:dyDescent="0.2">
      <c r="AA92">
        <v>9</v>
      </c>
      <c r="AB92">
        <v>18.145691702470163</v>
      </c>
      <c r="AC92">
        <v>61.35430829752984</v>
      </c>
    </row>
    <row r="93" spans="27:29" x14ac:dyDescent="0.2">
      <c r="AA93">
        <v>10</v>
      </c>
      <c r="AB93">
        <v>36.282168096456395</v>
      </c>
      <c r="AC93">
        <v>122.71783190354361</v>
      </c>
    </row>
    <row r="94" spans="27:29" x14ac:dyDescent="0.2">
      <c r="AA94">
        <v>11</v>
      </c>
      <c r="AB94">
        <v>54.418644490442624</v>
      </c>
      <c r="AC94">
        <v>184.08135550955737</v>
      </c>
    </row>
    <row r="95" spans="27:29" x14ac:dyDescent="0.2">
      <c r="AA95">
        <v>12</v>
      </c>
      <c r="AB95">
        <v>72.555120884428845</v>
      </c>
      <c r="AC95">
        <v>245.44487911557115</v>
      </c>
    </row>
    <row r="96" spans="27:29" x14ac:dyDescent="0.2">
      <c r="AA96">
        <v>13</v>
      </c>
      <c r="AB96">
        <v>982.49230384949681</v>
      </c>
      <c r="AC96">
        <v>-127.49230384949681</v>
      </c>
    </row>
    <row r="97" spans="27:29" x14ac:dyDescent="0.2">
      <c r="AA97">
        <v>14</v>
      </c>
      <c r="AB97">
        <v>1178.9707981176807</v>
      </c>
      <c r="AC97">
        <v>-152.97079811768072</v>
      </c>
    </row>
    <row r="98" spans="27:29" x14ac:dyDescent="0.2">
      <c r="AA98">
        <v>15</v>
      </c>
      <c r="AB98">
        <v>1375.449292385865</v>
      </c>
      <c r="AC98">
        <v>-178.44929238586496</v>
      </c>
    </row>
    <row r="99" spans="27:29" x14ac:dyDescent="0.2">
      <c r="AA99">
        <v>16</v>
      </c>
      <c r="AB99">
        <v>1571.9277866540492</v>
      </c>
      <c r="AC99">
        <v>-203.92778665404921</v>
      </c>
    </row>
    <row r="100" spans="27:29" x14ac:dyDescent="0.2">
      <c r="AA100">
        <v>17</v>
      </c>
      <c r="AB100">
        <v>272.07479183524526</v>
      </c>
      <c r="AC100">
        <v>357.92520816475474</v>
      </c>
    </row>
    <row r="101" spans="27:29" x14ac:dyDescent="0.2">
      <c r="AA101">
        <v>18</v>
      </c>
      <c r="AB101">
        <v>326.48422101720394</v>
      </c>
      <c r="AC101">
        <v>429.51577898279606</v>
      </c>
    </row>
    <row r="102" spans="27:29" x14ac:dyDescent="0.2">
      <c r="AA102">
        <v>19</v>
      </c>
      <c r="AB102">
        <v>380.89365019916261</v>
      </c>
      <c r="AC102">
        <v>501.10634980083739</v>
      </c>
    </row>
    <row r="103" spans="27:29" x14ac:dyDescent="0.2">
      <c r="AA103">
        <v>20</v>
      </c>
      <c r="AB103">
        <v>435.30307938112128</v>
      </c>
      <c r="AC103">
        <v>572.69692061887872</v>
      </c>
    </row>
    <row r="104" spans="27:29" x14ac:dyDescent="0.2">
      <c r="AA104">
        <v>21</v>
      </c>
      <c r="AB104">
        <v>90.691597278415074</v>
      </c>
      <c r="AC104">
        <v>306.80840272158491</v>
      </c>
    </row>
    <row r="105" spans="27:29" x14ac:dyDescent="0.2">
      <c r="AA105">
        <v>22</v>
      </c>
      <c r="AB105">
        <v>108.8280736724013</v>
      </c>
      <c r="AC105">
        <v>368.17192632759873</v>
      </c>
    </row>
    <row r="106" spans="27:29" x14ac:dyDescent="0.2">
      <c r="AA106">
        <v>23</v>
      </c>
      <c r="AB106">
        <v>126.96455006638755</v>
      </c>
      <c r="AC106">
        <v>429.53544993361243</v>
      </c>
    </row>
    <row r="107" spans="27:29" x14ac:dyDescent="0.2">
      <c r="AA107">
        <v>24</v>
      </c>
      <c r="AB107">
        <v>145.10102646037376</v>
      </c>
      <c r="AC107">
        <v>490.89897353962624</v>
      </c>
    </row>
    <row r="108" spans="27:29" x14ac:dyDescent="0.2">
      <c r="AA108">
        <v>25</v>
      </c>
      <c r="AB108">
        <v>1768.4062809222332</v>
      </c>
      <c r="AC108">
        <v>-229.40628092223324</v>
      </c>
    </row>
    <row r="109" spans="27:29" x14ac:dyDescent="0.2">
      <c r="AA109">
        <v>26</v>
      </c>
      <c r="AB109">
        <v>1964.8847751904175</v>
      </c>
      <c r="AC109">
        <v>-254.88477519041749</v>
      </c>
    </row>
    <row r="110" spans="27:29" x14ac:dyDescent="0.2">
      <c r="AA110">
        <v>27</v>
      </c>
      <c r="AB110">
        <v>2161.3632694586017</v>
      </c>
      <c r="AC110">
        <v>-280.36326945860174</v>
      </c>
    </row>
    <row r="111" spans="27:29" x14ac:dyDescent="0.2">
      <c r="AA111">
        <v>28</v>
      </c>
      <c r="AB111">
        <v>2357.8417637267858</v>
      </c>
      <c r="AC111">
        <v>-305.84176372678576</v>
      </c>
    </row>
    <row r="112" spans="27:29" x14ac:dyDescent="0.2">
      <c r="AA112">
        <v>29</v>
      </c>
      <c r="AB112">
        <v>489.71250856308001</v>
      </c>
      <c r="AC112">
        <v>644.28749143691994</v>
      </c>
    </row>
    <row r="113" spans="27:29" x14ac:dyDescent="0.2">
      <c r="AA113">
        <v>30</v>
      </c>
      <c r="AB113">
        <v>544.12193774503874</v>
      </c>
      <c r="AC113">
        <v>715.87806225496126</v>
      </c>
    </row>
    <row r="114" spans="27:29" x14ac:dyDescent="0.2">
      <c r="AA114">
        <v>31</v>
      </c>
      <c r="AB114">
        <v>598.53136692699741</v>
      </c>
      <c r="AC114">
        <v>787.46863307300259</v>
      </c>
    </row>
    <row r="115" spans="27:29" x14ac:dyDescent="0.2">
      <c r="AA115">
        <v>32</v>
      </c>
      <c r="AB115">
        <v>652.94079610895608</v>
      </c>
      <c r="AC115">
        <v>859.05920389104392</v>
      </c>
    </row>
    <row r="116" spans="27:29" x14ac:dyDescent="0.2">
      <c r="AA116">
        <v>33</v>
      </c>
      <c r="AB116">
        <v>163.23750285436</v>
      </c>
      <c r="AC116">
        <v>552.26249714564005</v>
      </c>
    </row>
    <row r="117" spans="27:29" x14ac:dyDescent="0.2">
      <c r="AA117">
        <v>34</v>
      </c>
      <c r="AB117">
        <v>181.37397924834622</v>
      </c>
      <c r="AC117">
        <v>613.62602075165375</v>
      </c>
    </row>
    <row r="118" spans="27:29" x14ac:dyDescent="0.2">
      <c r="AA118">
        <v>35</v>
      </c>
      <c r="AB118">
        <v>199.51045564233246</v>
      </c>
      <c r="AC118">
        <v>674.98954435766757</v>
      </c>
    </row>
    <row r="119" spans="27:29" ht="16" thickBot="1" x14ac:dyDescent="0.25">
      <c r="AA119" s="7">
        <v>36</v>
      </c>
      <c r="AB119" s="7">
        <v>217.64693203631867</v>
      </c>
      <c r="AC119" s="7">
        <v>736.35306796368127</v>
      </c>
    </row>
  </sheetData>
  <phoneticPr fontId="7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CD6FE-4E00-4CD6-871A-4D2AE5966951}">
  <sheetPr codeName="Sheet4"/>
  <dimension ref="A1:W19"/>
  <sheetViews>
    <sheetView zoomScale="150" workbookViewId="0">
      <selection activeCell="K27" sqref="K27"/>
    </sheetView>
  </sheetViews>
  <sheetFormatPr baseColWidth="10" defaultColWidth="8.83203125" defaultRowHeight="15" x14ac:dyDescent="0.2"/>
  <cols>
    <col min="11" max="11" width="15.5" bestFit="1" customWidth="1"/>
    <col min="12" max="12" width="13.1640625" bestFit="1" customWidth="1"/>
    <col min="22" max="22" width="14.6640625" bestFit="1" customWidth="1"/>
  </cols>
  <sheetData>
    <row r="1" spans="1:23" x14ac:dyDescent="0.2">
      <c r="A1" t="s">
        <v>53</v>
      </c>
      <c r="K1" t="s">
        <v>19</v>
      </c>
      <c r="L1">
        <v>300</v>
      </c>
      <c r="M1" t="s">
        <v>20</v>
      </c>
      <c r="N1">
        <v>0.7</v>
      </c>
    </row>
    <row r="2" spans="1:23" x14ac:dyDescent="0.2">
      <c r="L2" t="s">
        <v>11</v>
      </c>
      <c r="N2" t="s">
        <v>50</v>
      </c>
    </row>
    <row r="4" spans="1:23" x14ac:dyDescent="0.2">
      <c r="M4" t="s">
        <v>49</v>
      </c>
      <c r="N4" t="s">
        <v>49</v>
      </c>
      <c r="O4" t="s">
        <v>49</v>
      </c>
      <c r="P4" t="s">
        <v>49</v>
      </c>
      <c r="Q4" t="s">
        <v>49</v>
      </c>
      <c r="R4" t="s">
        <v>49</v>
      </c>
    </row>
    <row r="5" spans="1:23" x14ac:dyDescent="0.2">
      <c r="B5" t="s">
        <v>21</v>
      </c>
      <c r="K5" t="s">
        <v>51</v>
      </c>
      <c r="L5" t="s">
        <v>52</v>
      </c>
      <c r="M5" t="s">
        <v>22</v>
      </c>
      <c r="N5" t="s">
        <v>22</v>
      </c>
      <c r="O5" t="s">
        <v>22</v>
      </c>
      <c r="P5" t="s">
        <v>23</v>
      </c>
      <c r="Q5" t="s">
        <v>23</v>
      </c>
      <c r="R5" t="s">
        <v>23</v>
      </c>
      <c r="T5" t="s">
        <v>17</v>
      </c>
      <c r="U5" t="s">
        <v>12</v>
      </c>
    </row>
    <row r="6" spans="1:23" x14ac:dyDescent="0.2">
      <c r="C6" t="s">
        <v>24</v>
      </c>
      <c r="D6" t="s">
        <v>25</v>
      </c>
      <c r="E6" t="s">
        <v>26</v>
      </c>
      <c r="F6" t="s">
        <v>27</v>
      </c>
      <c r="G6" t="s">
        <v>28</v>
      </c>
      <c r="H6" t="s">
        <v>29</v>
      </c>
      <c r="I6" t="s">
        <v>30</v>
      </c>
      <c r="J6" t="s">
        <v>31</v>
      </c>
      <c r="K6" t="s">
        <v>32</v>
      </c>
      <c r="L6" t="s">
        <v>33</v>
      </c>
      <c r="M6" t="s">
        <v>34</v>
      </c>
      <c r="N6" t="s">
        <v>35</v>
      </c>
      <c r="O6" t="s">
        <v>36</v>
      </c>
      <c r="P6" t="s">
        <v>34</v>
      </c>
      <c r="Q6" t="s">
        <v>35</v>
      </c>
      <c r="R6" t="s">
        <v>36</v>
      </c>
      <c r="W6" t="s">
        <v>137</v>
      </c>
    </row>
    <row r="7" spans="1:23" x14ac:dyDescent="0.2">
      <c r="B7" t="s">
        <v>37</v>
      </c>
      <c r="C7">
        <v>2.58</v>
      </c>
      <c r="D7">
        <v>7.0000000000000007E-2</v>
      </c>
      <c r="E7">
        <v>0</v>
      </c>
      <c r="F7">
        <v>83</v>
      </c>
      <c r="G7">
        <v>0</v>
      </c>
      <c r="H7">
        <v>0</v>
      </c>
      <c r="I7">
        <v>28</v>
      </c>
      <c r="J7">
        <v>2</v>
      </c>
      <c r="K7">
        <f>(C7+D7/J7)</f>
        <v>2.6150000000000002</v>
      </c>
      <c r="L7">
        <f>E7/J7+F7+G7/J7+H7+I7/J7</f>
        <v>97</v>
      </c>
      <c r="M7">
        <f>$L$1*$N$1*K7+E7/J7*$N$1</f>
        <v>549.15000000000009</v>
      </c>
      <c r="N7" s="2">
        <f>O7-M7</f>
        <v>67.899999999999977</v>
      </c>
      <c r="O7" s="3">
        <f>$L$1*$N$1*K7+L7*$N$1</f>
        <v>617.05000000000007</v>
      </c>
      <c r="P7" s="2">
        <f>M7/$L$1</f>
        <v>1.8305000000000002</v>
      </c>
      <c r="Q7" s="2">
        <f>N7/$L$1</f>
        <v>0.22633333333333325</v>
      </c>
      <c r="R7" s="2">
        <f>O7/$L$1</f>
        <v>2.0568333333333335</v>
      </c>
      <c r="T7">
        <f>K7*10^3</f>
        <v>2615</v>
      </c>
      <c r="U7">
        <f>L7*10^3</f>
        <v>97000</v>
      </c>
      <c r="V7" s="4">
        <f>T7*350*100+U7*350</f>
        <v>125475000</v>
      </c>
      <c r="W7">
        <v>2011</v>
      </c>
    </row>
    <row r="8" spans="1:23" x14ac:dyDescent="0.2">
      <c r="B8" t="s">
        <v>38</v>
      </c>
      <c r="C8">
        <v>0.33</v>
      </c>
      <c r="D8">
        <v>0.56000000000000005</v>
      </c>
      <c r="E8">
        <v>5</v>
      </c>
      <c r="F8">
        <v>216</v>
      </c>
      <c r="G8">
        <v>6.5</v>
      </c>
      <c r="H8">
        <v>23</v>
      </c>
      <c r="I8">
        <v>17.3</v>
      </c>
      <c r="J8">
        <v>2</v>
      </c>
      <c r="K8">
        <f t="shared" ref="K8:K19" si="0">(C8+D8/J8)</f>
        <v>0.6100000000000001</v>
      </c>
      <c r="L8">
        <f t="shared" ref="L8:L19" si="1">E8/J8+F8+G8/J8+H8+I8/J8</f>
        <v>253.4</v>
      </c>
      <c r="M8">
        <f t="shared" ref="M8:M19" si="2">$L$1*$N$1*K8+E8/J8*$N$1</f>
        <v>129.85000000000002</v>
      </c>
      <c r="N8" s="2">
        <f t="shared" ref="N8:N19" si="3">O8-M8</f>
        <v>175.63</v>
      </c>
      <c r="O8" s="3">
        <f t="shared" ref="O8:O19" si="4">$L$1*$N$1*K8+L8*$N$1</f>
        <v>305.48</v>
      </c>
      <c r="P8" s="2">
        <f t="shared" ref="P8:P19" si="5">M8/$L$1</f>
        <v>0.4328333333333334</v>
      </c>
      <c r="Q8" s="2">
        <f t="shared" ref="Q8:Q19" si="6">N8/$L$1</f>
        <v>0.58543333333333336</v>
      </c>
      <c r="R8" s="2">
        <f t="shared" ref="R8:R19" si="7">O8/$L$1</f>
        <v>1.0182666666666667</v>
      </c>
      <c r="T8">
        <f t="shared" ref="T8:T19" si="8">K8*10^3</f>
        <v>610.00000000000011</v>
      </c>
      <c r="U8">
        <f t="shared" ref="U8:U19" si="9">L8*10^3</f>
        <v>253400</v>
      </c>
      <c r="V8" s="4">
        <f t="shared" ref="V8:V19" si="10">T8*350*100+U8*350</f>
        <v>110040000</v>
      </c>
      <c r="W8">
        <v>2011</v>
      </c>
    </row>
    <row r="9" spans="1:23" x14ac:dyDescent="0.2">
      <c r="B9" t="s">
        <v>39</v>
      </c>
      <c r="C9">
        <v>0.33</v>
      </c>
      <c r="D9">
        <v>1.05</v>
      </c>
      <c r="E9">
        <v>0</v>
      </c>
      <c r="F9">
        <v>58.9</v>
      </c>
      <c r="G9">
        <v>54.9</v>
      </c>
      <c r="H9">
        <v>183.5</v>
      </c>
      <c r="I9">
        <v>-6.8</v>
      </c>
      <c r="J9">
        <v>2</v>
      </c>
      <c r="K9">
        <f t="shared" si="0"/>
        <v>0.85499999999999998</v>
      </c>
      <c r="L9">
        <f t="shared" si="1"/>
        <v>266.45000000000005</v>
      </c>
      <c r="M9">
        <f t="shared" si="2"/>
        <v>179.54999999999998</v>
      </c>
      <c r="N9" s="2">
        <f t="shared" si="3"/>
        <v>186.51500000000001</v>
      </c>
      <c r="O9" s="3">
        <f t="shared" si="4"/>
        <v>366.065</v>
      </c>
      <c r="P9" s="2">
        <f t="shared" si="5"/>
        <v>0.59849999999999992</v>
      </c>
      <c r="Q9" s="2">
        <f t="shared" si="6"/>
        <v>0.6217166666666667</v>
      </c>
      <c r="R9" s="2">
        <f t="shared" si="7"/>
        <v>1.2202166666666667</v>
      </c>
      <c r="T9">
        <f t="shared" si="8"/>
        <v>855</v>
      </c>
      <c r="U9">
        <f t="shared" si="9"/>
        <v>266450.00000000006</v>
      </c>
      <c r="V9" s="4">
        <f t="shared" si="10"/>
        <v>123182500.00000001</v>
      </c>
      <c r="W9">
        <v>2011</v>
      </c>
    </row>
    <row r="10" spans="1:23" x14ac:dyDescent="0.2">
      <c r="B10" t="s">
        <v>40</v>
      </c>
      <c r="C10">
        <v>2.0499999999999998</v>
      </c>
      <c r="D10">
        <v>0.11</v>
      </c>
      <c r="E10">
        <v>0</v>
      </c>
      <c r="F10">
        <v>90</v>
      </c>
      <c r="G10">
        <v>18</v>
      </c>
      <c r="H10">
        <v>0</v>
      </c>
      <c r="I10">
        <v>24</v>
      </c>
      <c r="J10">
        <v>2</v>
      </c>
      <c r="K10">
        <f t="shared" si="0"/>
        <v>2.105</v>
      </c>
      <c r="L10">
        <f t="shared" si="1"/>
        <v>111</v>
      </c>
      <c r="M10">
        <f t="shared" si="2"/>
        <v>442.05</v>
      </c>
      <c r="N10" s="2">
        <f t="shared" si="3"/>
        <v>77.699999999999989</v>
      </c>
      <c r="O10" s="3">
        <f t="shared" si="4"/>
        <v>519.75</v>
      </c>
      <c r="P10" s="2">
        <f t="shared" si="5"/>
        <v>1.4735</v>
      </c>
      <c r="Q10" s="2">
        <f t="shared" si="6"/>
        <v>0.25899999999999995</v>
      </c>
      <c r="R10" s="2">
        <f t="shared" si="7"/>
        <v>1.7324999999999999</v>
      </c>
      <c r="T10">
        <f t="shared" si="8"/>
        <v>2105</v>
      </c>
      <c r="U10">
        <f t="shared" si="9"/>
        <v>111000</v>
      </c>
      <c r="V10" s="4">
        <f t="shared" si="10"/>
        <v>112525000</v>
      </c>
      <c r="W10">
        <v>2012</v>
      </c>
    </row>
    <row r="11" spans="1:23" x14ac:dyDescent="0.2">
      <c r="B11" t="s">
        <v>41</v>
      </c>
      <c r="C11">
        <v>0.28999999999999998</v>
      </c>
      <c r="D11">
        <v>1.06</v>
      </c>
      <c r="E11">
        <v>0</v>
      </c>
      <c r="F11">
        <v>60.8</v>
      </c>
      <c r="G11">
        <v>63.17</v>
      </c>
      <c r="H11">
        <v>216.6</v>
      </c>
      <c r="I11">
        <v>143.66</v>
      </c>
      <c r="J11">
        <v>2</v>
      </c>
      <c r="K11">
        <f t="shared" si="0"/>
        <v>0.82000000000000006</v>
      </c>
      <c r="L11">
        <f t="shared" si="1"/>
        <v>380.815</v>
      </c>
      <c r="M11">
        <f t="shared" si="2"/>
        <v>172.20000000000002</v>
      </c>
      <c r="N11" s="2">
        <f t="shared" si="3"/>
        <v>266.57049999999992</v>
      </c>
      <c r="O11" s="3">
        <f t="shared" si="4"/>
        <v>438.77049999999997</v>
      </c>
      <c r="P11" s="2">
        <f t="shared" si="5"/>
        <v>0.57400000000000007</v>
      </c>
      <c r="Q11" s="2">
        <f t="shared" si="6"/>
        <v>0.88856833333333307</v>
      </c>
      <c r="R11" s="2">
        <f t="shared" si="7"/>
        <v>1.4625683333333332</v>
      </c>
      <c r="T11">
        <f t="shared" si="8"/>
        <v>820.00000000000011</v>
      </c>
      <c r="U11">
        <f t="shared" si="9"/>
        <v>380815</v>
      </c>
      <c r="V11" s="4">
        <f t="shared" si="10"/>
        <v>161985250</v>
      </c>
      <c r="W11">
        <v>2013</v>
      </c>
    </row>
    <row r="12" spans="1:23" x14ac:dyDescent="0.2">
      <c r="B12" t="s">
        <v>42</v>
      </c>
      <c r="C12">
        <v>0.61</v>
      </c>
      <c r="D12">
        <v>0.74</v>
      </c>
      <c r="E12">
        <v>0</v>
      </c>
      <c r="F12">
        <v>58.9</v>
      </c>
      <c r="G12">
        <v>54.9</v>
      </c>
      <c r="H12">
        <v>130.83000000000001</v>
      </c>
      <c r="I12">
        <v>0</v>
      </c>
      <c r="J12">
        <v>2</v>
      </c>
      <c r="K12">
        <f t="shared" si="0"/>
        <v>0.98</v>
      </c>
      <c r="L12">
        <f t="shared" si="1"/>
        <v>217.18</v>
      </c>
      <c r="M12">
        <f t="shared" si="2"/>
        <v>205.79999999999998</v>
      </c>
      <c r="N12" s="2">
        <f t="shared" si="3"/>
        <v>152.02599999999998</v>
      </c>
      <c r="O12" s="3">
        <f t="shared" si="4"/>
        <v>357.82599999999996</v>
      </c>
      <c r="P12" s="2">
        <f t="shared" si="5"/>
        <v>0.68599999999999994</v>
      </c>
      <c r="Q12" s="2">
        <f t="shared" si="6"/>
        <v>0.50675333333333328</v>
      </c>
      <c r="R12" s="2">
        <f t="shared" si="7"/>
        <v>1.1927533333333331</v>
      </c>
      <c r="T12">
        <f t="shared" si="8"/>
        <v>980</v>
      </c>
      <c r="U12">
        <f t="shared" si="9"/>
        <v>217180</v>
      </c>
      <c r="V12" s="4">
        <f t="shared" si="10"/>
        <v>110313000</v>
      </c>
      <c r="W12">
        <v>2013</v>
      </c>
    </row>
    <row r="13" spans="1:23" x14ac:dyDescent="0.2">
      <c r="B13" t="s">
        <v>43</v>
      </c>
      <c r="C13">
        <v>0.5</v>
      </c>
      <c r="D13">
        <v>0.45</v>
      </c>
      <c r="E13">
        <v>0</v>
      </c>
      <c r="F13">
        <v>58.9</v>
      </c>
      <c r="G13">
        <v>54.9</v>
      </c>
      <c r="H13">
        <v>0</v>
      </c>
      <c r="I13">
        <v>111.3</v>
      </c>
      <c r="J13">
        <v>2</v>
      </c>
      <c r="K13">
        <f t="shared" si="0"/>
        <v>0.72499999999999998</v>
      </c>
      <c r="L13">
        <f t="shared" si="1"/>
        <v>142</v>
      </c>
      <c r="M13">
        <f t="shared" si="2"/>
        <v>152.25</v>
      </c>
      <c r="N13" s="2">
        <f t="shared" si="3"/>
        <v>99.399999999999977</v>
      </c>
      <c r="O13" s="3">
        <f t="shared" si="4"/>
        <v>251.64999999999998</v>
      </c>
      <c r="P13" s="2">
        <f t="shared" si="5"/>
        <v>0.50749999999999995</v>
      </c>
      <c r="Q13" s="2">
        <f t="shared" si="6"/>
        <v>0.33133333333333326</v>
      </c>
      <c r="R13" s="2">
        <f t="shared" si="7"/>
        <v>0.83883333333333321</v>
      </c>
      <c r="T13">
        <f t="shared" si="8"/>
        <v>725</v>
      </c>
      <c r="U13">
        <f t="shared" si="9"/>
        <v>142000</v>
      </c>
      <c r="V13" s="4">
        <f t="shared" si="10"/>
        <v>75075000</v>
      </c>
      <c r="W13">
        <v>2014</v>
      </c>
    </row>
    <row r="14" spans="1:23" x14ac:dyDescent="0.2">
      <c r="B14" t="s">
        <v>44</v>
      </c>
      <c r="C14">
        <v>1.5</v>
      </c>
      <c r="D14">
        <v>0.87</v>
      </c>
      <c r="E14">
        <v>0</v>
      </c>
      <c r="F14">
        <v>0</v>
      </c>
      <c r="G14">
        <v>0</v>
      </c>
      <c r="H14">
        <v>0</v>
      </c>
      <c r="I14">
        <v>0</v>
      </c>
      <c r="J14">
        <v>2</v>
      </c>
      <c r="K14">
        <f t="shared" si="0"/>
        <v>1.9350000000000001</v>
      </c>
      <c r="L14">
        <f t="shared" si="1"/>
        <v>0</v>
      </c>
      <c r="M14">
        <f t="shared" si="2"/>
        <v>406.35</v>
      </c>
      <c r="N14" s="2">
        <f t="shared" si="3"/>
        <v>0</v>
      </c>
      <c r="O14" s="3">
        <f t="shared" si="4"/>
        <v>406.35</v>
      </c>
      <c r="P14" s="2">
        <f t="shared" si="5"/>
        <v>1.3545</v>
      </c>
      <c r="Q14" s="2">
        <f t="shared" si="6"/>
        <v>0</v>
      </c>
      <c r="R14" s="2">
        <f t="shared" si="7"/>
        <v>1.3545</v>
      </c>
      <c r="T14">
        <f t="shared" si="8"/>
        <v>1935</v>
      </c>
      <c r="U14">
        <f t="shared" si="9"/>
        <v>0</v>
      </c>
      <c r="V14" s="4">
        <f t="shared" si="10"/>
        <v>67725000</v>
      </c>
      <c r="W14">
        <v>2014</v>
      </c>
    </row>
    <row r="15" spans="1:23" x14ac:dyDescent="0.2">
      <c r="B15" t="s">
        <v>45</v>
      </c>
      <c r="C15">
        <v>0.35</v>
      </c>
      <c r="D15">
        <v>1.85</v>
      </c>
      <c r="E15">
        <v>0</v>
      </c>
      <c r="F15">
        <v>65</v>
      </c>
      <c r="G15">
        <v>54</v>
      </c>
      <c r="H15">
        <v>125</v>
      </c>
      <c r="I15">
        <v>218.95</v>
      </c>
      <c r="J15">
        <v>2</v>
      </c>
      <c r="K15">
        <f t="shared" si="0"/>
        <v>1.2749999999999999</v>
      </c>
      <c r="L15">
        <f t="shared" si="1"/>
        <v>326.47500000000002</v>
      </c>
      <c r="M15">
        <f t="shared" si="2"/>
        <v>267.75</v>
      </c>
      <c r="N15" s="2">
        <f t="shared" si="3"/>
        <v>228.53250000000003</v>
      </c>
      <c r="O15" s="3">
        <f t="shared" si="4"/>
        <v>496.28250000000003</v>
      </c>
      <c r="P15" s="2">
        <f t="shared" si="5"/>
        <v>0.89249999999999996</v>
      </c>
      <c r="Q15" s="2">
        <f t="shared" si="6"/>
        <v>0.76177500000000009</v>
      </c>
      <c r="R15" s="2">
        <f t="shared" si="7"/>
        <v>1.6542750000000002</v>
      </c>
      <c r="T15">
        <f t="shared" si="8"/>
        <v>1275</v>
      </c>
      <c r="U15">
        <f t="shared" si="9"/>
        <v>326475</v>
      </c>
      <c r="V15" s="4">
        <f t="shared" si="10"/>
        <v>158891250</v>
      </c>
      <c r="W15">
        <v>2015</v>
      </c>
    </row>
    <row r="16" spans="1:23" x14ac:dyDescent="0.2">
      <c r="B16" t="s">
        <v>46</v>
      </c>
      <c r="C16">
        <v>1.3</v>
      </c>
      <c r="D16">
        <v>0</v>
      </c>
      <c r="E16">
        <v>0</v>
      </c>
      <c r="F16">
        <v>100</v>
      </c>
      <c r="G16">
        <v>0</v>
      </c>
      <c r="H16">
        <v>75</v>
      </c>
      <c r="I16">
        <v>0</v>
      </c>
      <c r="J16">
        <v>2</v>
      </c>
      <c r="K16">
        <f t="shared" si="0"/>
        <v>1.3</v>
      </c>
      <c r="L16">
        <f t="shared" si="1"/>
        <v>175</v>
      </c>
      <c r="M16">
        <f t="shared" si="2"/>
        <v>273</v>
      </c>
      <c r="N16" s="2">
        <f t="shared" si="3"/>
        <v>122.5</v>
      </c>
      <c r="O16" s="3">
        <f t="shared" si="4"/>
        <v>395.5</v>
      </c>
      <c r="P16" s="2">
        <f t="shared" si="5"/>
        <v>0.91</v>
      </c>
      <c r="Q16" s="2">
        <f t="shared" si="6"/>
        <v>0.40833333333333333</v>
      </c>
      <c r="R16" s="2">
        <f t="shared" si="7"/>
        <v>1.3183333333333334</v>
      </c>
      <c r="T16">
        <f t="shared" si="8"/>
        <v>1300</v>
      </c>
      <c r="U16">
        <f t="shared" si="9"/>
        <v>175000</v>
      </c>
      <c r="V16" s="4">
        <f t="shared" si="10"/>
        <v>106750000</v>
      </c>
      <c r="W16">
        <v>2015</v>
      </c>
    </row>
    <row r="17" spans="2:23" x14ac:dyDescent="0.2">
      <c r="B17" t="s">
        <v>47</v>
      </c>
      <c r="C17">
        <v>0.63</v>
      </c>
      <c r="D17">
        <v>0.56000000000000005</v>
      </c>
      <c r="E17">
        <v>4.0599999999999996</v>
      </c>
      <c r="F17">
        <v>157</v>
      </c>
      <c r="G17">
        <v>0</v>
      </c>
      <c r="H17">
        <v>-14.93</v>
      </c>
      <c r="I17">
        <v>0</v>
      </c>
      <c r="J17">
        <v>2</v>
      </c>
      <c r="K17">
        <f t="shared" si="0"/>
        <v>0.91</v>
      </c>
      <c r="L17">
        <f t="shared" si="1"/>
        <v>144.1</v>
      </c>
      <c r="M17">
        <f t="shared" si="2"/>
        <v>192.52099999999999</v>
      </c>
      <c r="N17" s="2">
        <f t="shared" si="3"/>
        <v>99.448999999999984</v>
      </c>
      <c r="O17" s="3">
        <f t="shared" si="4"/>
        <v>291.96999999999997</v>
      </c>
      <c r="P17" s="2">
        <f t="shared" si="5"/>
        <v>0.64173666666666662</v>
      </c>
      <c r="Q17" s="2">
        <f t="shared" si="6"/>
        <v>0.33149666666666661</v>
      </c>
      <c r="R17" s="2">
        <f t="shared" si="7"/>
        <v>0.97323333333333328</v>
      </c>
      <c r="T17">
        <f t="shared" si="8"/>
        <v>910</v>
      </c>
      <c r="U17">
        <f t="shared" si="9"/>
        <v>144100</v>
      </c>
      <c r="V17" s="4">
        <f t="shared" si="10"/>
        <v>82285000</v>
      </c>
      <c r="W17">
        <v>2015</v>
      </c>
    </row>
    <row r="18" spans="2:23" x14ac:dyDescent="0.2">
      <c r="B18" t="s">
        <v>41</v>
      </c>
      <c r="C18">
        <v>0.63</v>
      </c>
      <c r="D18">
        <v>1.45</v>
      </c>
      <c r="E18">
        <v>0</v>
      </c>
      <c r="F18">
        <v>103</v>
      </c>
      <c r="G18">
        <v>62.6</v>
      </c>
      <c r="H18">
        <v>475.9</v>
      </c>
      <c r="I18">
        <v>46.07</v>
      </c>
      <c r="J18">
        <v>2</v>
      </c>
      <c r="K18">
        <f t="shared" si="0"/>
        <v>1.355</v>
      </c>
      <c r="L18">
        <f t="shared" si="1"/>
        <v>633.23500000000001</v>
      </c>
      <c r="M18">
        <f t="shared" si="2"/>
        <v>284.55</v>
      </c>
      <c r="N18" s="2">
        <f t="shared" si="3"/>
        <v>443.26449999999994</v>
      </c>
      <c r="O18" s="3">
        <f t="shared" si="4"/>
        <v>727.81449999999995</v>
      </c>
      <c r="P18" s="2">
        <f t="shared" si="5"/>
        <v>0.94850000000000001</v>
      </c>
      <c r="Q18" s="2">
        <f t="shared" si="6"/>
        <v>1.4775483333333332</v>
      </c>
      <c r="R18" s="2">
        <f t="shared" si="7"/>
        <v>2.4260483333333331</v>
      </c>
      <c r="T18">
        <f t="shared" si="8"/>
        <v>1355</v>
      </c>
      <c r="U18">
        <f t="shared" si="9"/>
        <v>633235</v>
      </c>
      <c r="V18" s="4">
        <f t="shared" si="10"/>
        <v>269057250</v>
      </c>
      <c r="W18">
        <v>2015</v>
      </c>
    </row>
    <row r="19" spans="2:23" x14ac:dyDescent="0.2">
      <c r="B19" t="s">
        <v>48</v>
      </c>
      <c r="C19">
        <v>1.48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2</v>
      </c>
      <c r="K19">
        <f t="shared" si="0"/>
        <v>1.48</v>
      </c>
      <c r="L19">
        <f t="shared" si="1"/>
        <v>0</v>
      </c>
      <c r="M19">
        <f t="shared" si="2"/>
        <v>310.8</v>
      </c>
      <c r="N19" s="2">
        <f t="shared" si="3"/>
        <v>0</v>
      </c>
      <c r="O19" s="3">
        <f t="shared" si="4"/>
        <v>310.8</v>
      </c>
      <c r="P19" s="2">
        <f t="shared" si="5"/>
        <v>1.036</v>
      </c>
      <c r="Q19" s="2">
        <f t="shared" si="6"/>
        <v>0</v>
      </c>
      <c r="R19" s="2">
        <f t="shared" si="7"/>
        <v>1.036</v>
      </c>
      <c r="T19">
        <f t="shared" si="8"/>
        <v>1480</v>
      </c>
      <c r="U19">
        <f t="shared" si="9"/>
        <v>0</v>
      </c>
      <c r="V19" s="4">
        <f t="shared" si="10"/>
        <v>51800000</v>
      </c>
      <c r="W19">
        <v>2016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59A8-D123-4429-B71D-A74BAF1E63EB}">
  <sheetPr codeName="Sheet5"/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ToModel_2025</vt:lpstr>
      <vt:lpstr>ToModel</vt:lpstr>
      <vt:lpstr>ToLatex</vt:lpstr>
      <vt:lpstr>H2</vt:lpstr>
      <vt:lpstr>DC</vt:lpstr>
      <vt:lpstr>ACDC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2023-05-15T12:02:46Z</dcterms:created>
  <dcterms:modified xsi:type="dcterms:W3CDTF">2026-10-14T10:11:18Z</dcterms:modified>
</cp:coreProperties>
</file>